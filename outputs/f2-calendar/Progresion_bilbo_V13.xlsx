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28b7f720d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clo" sheetId="1" r:id="Rfca5f3eaddbd42b4"/>
  </x:sheets>
</x:workbook>
</file>

<file path=xl/sharedStrings.xml><?xml version="1.0" encoding="utf-8"?>
<x:sst xmlns:x="http://schemas.openxmlformats.org/spreadsheetml/2006/main">
  <x:si>
    <x:t xml:space="preserve">Progresion Bilbo — Hoja Ciclo</x:t>
  </x:si>
  <x:si>
    <x:t xml:space="preserve">CICLO 1</x:t>
  </x:si>
  <x:si>
    <x:t xml:space="preserve">CICLO 2</x:t>
  </x:si>
  <x:si>
    <x:t xml:space="preserve">CICLO 3</x:t>
  </x:si>
  <x:si>
    <x:t xml:space="preserve">Nombre:</x:t>
  </x:si>
  <x:si>
    <x:t xml:space="preserve">Press banca</x:t>
  </x:si>
  <x:si>
    <x:t xml:space="preserve">1RM INICIO (kg):</x:t>
  </x:si>
  <x:si>
    <x:t xml:space="preserve">INCREMENTO (kg):</x:t>
  </x:si>
  <x:si>
    <x:t xml:space="preserve">Sesion</x:t>
  </x:si>
  <x:si>
    <x:t xml:space="preserve">Fecha</x:t>
  </x:si>
  <x:si>
    <x:t xml:space="preserve">PESO (kg)</x:t>
  </x:si>
  <x:si>
    <x:t xml:space="preserve">Repeticiones</x:t>
  </x:si>
  <x:si>
    <x:t xml:space="preserve">Trabajo</x:t>
  </x:si>
  <x:si>
    <x:t xml:space="preserve">1RM estimado (kg)</x:t>
  </x:si>
  <x:si>
    <x:t xml:space="preserve">Acumulado</x:t>
  </x:si>
  <x:si>
    <x:t xml:space="preserve">Record Trabajo</x:t>
  </x:si>
  <x:si>
    <x:t xml:space="preserve">Record 1RM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</x:si>
</x:sst>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dd/mm/yyyy"/>
    <x:numFmt numFmtId="166" formatCode="0.0"/>
  </x:numFmts>
  <x:fonts count="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name val="Arial"/>
    </x:font>
    <x:font>
      <x:i/>
      <x:sz val="9"/>
      <x:name val="Arial"/>
    </x:font>
    <x:font>
      <x:b/>
      <x:sz val="11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D9D9D9"/>
      </x:patternFill>
    </x:fill>
  </x:fills>
  <x:borders count="2">
    <x:border diagonalUp="0" diagonalDown="0"/>
    <x:border diagonalUp="0" diagonalDown="0"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3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1" applyAlignment="0">
      <x:alignment horizontal="general" vertical="bottom" wrapText="0"/>
    </x:xf>
    <x:xf numFmtId="164" fontId="4" fillId="0" borderId="0" xfId="0" applyFont="1" applyBorder="1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2" borderId="0" xfId="0" applyFont="1" applyBorder="0" applyAlignment="0">
      <x:alignment horizontal="general" vertical="bottom" wrapText="0"/>
    </x:xf>
    <x:xf numFmtId="164" fontId="6" fillId="3" borderId="1" xfId="0" applyFont="1" applyBorder="1" applyAlignment="1">
      <x:alignment horizontal="center" vertical="bottom" wrapText="1"/>
    </x:xf>
    <x:xf numFmtId="164" fontId="7" fillId="0" borderId="1" xfId="0" applyFont="1" applyBorder="1" applyAlignment="1">
      <x:alignment horizontal="center" vertical="bottom" wrapText="0"/>
    </x:xf>
    <x:xf numFmtId="165" fontId="0" fillId="0" borderId="1" xfId="0" applyFont="0" applyBorder="1" applyAlignment="0">
      <x:alignment horizontal="general" vertical="bottom" wrapText="0"/>
    </x:xf>
    <x:xf numFmtId="166" fontId="0" fillId="0" borderId="1" xfId="0" applyFont="0" applyBorder="1" applyAlignment="0">
      <x:alignment horizontal="general" vertical="bottom" wrapText="0"/>
    </x:xf>
    <x:xf numFmtId="164" fontId="0" fillId="2" borderId="1" xfId="0" applyFont="0" applyBorder="1" applyAlignment="1">
      <x:alignment horizontal="center" vertical="bottom" wrapText="0"/>
    </x:xf>
    <x:xf numFmtId="164" fontId="6" fillId="0" borderId="1" xfId="0" applyFont="1" applyBorder="1" applyAlignment="0">
      <x:alignment horizontal="general" vertical="bottom" wrapText="0"/>
    </x:xf>
    <x:xf numFmtId="164" fontId="0" fillId="0" borderId="1" xfId="0" applyFont="0" applyBorder="1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99999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6577ed5f84483" /><Relationship Type="http://schemas.openxmlformats.org/officeDocument/2006/relationships/theme" Target="/xl/theme/theme1.xml" Id="Rd919e3ecd3ad427b" /><Relationship Type="http://schemas.openxmlformats.org/officeDocument/2006/relationships/sharedStrings" Target="/xl/sharedStrings.xml" Id="R3a8f51eb86274d4e" /><Relationship Type="http://schemas.openxmlformats.org/officeDocument/2006/relationships/worksheet" Target="/xl/worksheets/sheet1.xml" Id="Rfca5f3eaddbd42b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12" hidden="0" customWidth="1"/>
    <x:col min="3" max="3" width="10" hidden="0" customWidth="1"/>
    <x:col min="4" max="4" width="12" hidden="0" customWidth="1"/>
    <x:col min="5" max="5" width="10" hidden="0" customWidth="1"/>
    <x:col min="6" max="6" width="14" hidden="0" customWidth="1"/>
    <x:col min="7" max="7" width="3" hidden="0" customWidth="1"/>
    <x:col min="8" max="8" width="8" hidden="0" customWidth="1"/>
    <x:col min="9" max="9" width="12" hidden="0" customWidth="1"/>
    <x:col min="10" max="10" width="10" hidden="0" customWidth="1"/>
    <x:col min="11" max="11" width="12" hidden="0" customWidth="1"/>
    <x:col min="12" max="12" width="10" hidden="0" customWidth="1"/>
    <x:col min="13" max="13" width="14" hidden="0" customWidth="1"/>
    <x:col min="14" max="14" width="3" hidden="0" customWidth="1"/>
    <x:col min="15" max="15" width="8" hidden="0" customWidth="1"/>
    <x:col min="16" max="16" width="12" hidden="0" customWidth="1"/>
    <x:col min="17" max="17" width="10" hidden="0" customWidth="1"/>
    <x:col min="18" max="18" width="12" hidden="0" customWidth="1"/>
    <x:col min="19" max="19" width="10" hidden="0" customWidth="1"/>
    <x:col min="20" max="20" width="14" hidden="0" customWidth="1"/>
  </x:cols>
  <x:sheetData>
    <x:row r="1" ht="16.149999618530273" hidden="0">
      <x:c r="A1" s="1" t="s">
        <x:v>0</x:v>
      </x:c>
    </x:row>
    <x:row r="2" ht="15" hidden="0">
      <x:c r="A2" s="2" t="str">
        <x:v>Celdas amarillas = entrada manual. Frecuencia 2: martes F1 y viernes F2; cada fila avanza una sesión. El resto son fórmulas, no sobrescribir.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4" ht="16.149999618530273" hidden="0">
      <x:c r="A4" s="3" t="s">
        <x:v>1</x:v>
      </x:c>
      <x:c r="B4" s="3"/>
      <x:c r="C4" s="3"/>
      <x:c r="D4" s="3"/>
      <x:c r="E4" s="3"/>
      <x:c r="F4" s="3"/>
      <x:c r="H4" s="3" t="s">
        <x:v>2</x:v>
      </x:c>
      <x:c r="I4" s="3"/>
      <x:c r="J4" s="3"/>
      <x:c r="K4" s="3"/>
      <x:c r="L4" s="3"/>
      <x:c r="M4" s="3"/>
      <x:c r="O4" s="3" t="s">
        <x:v>3</x:v>
      </x:c>
      <x:c r="P4" s="3"/>
      <x:c r="Q4" s="3"/>
      <x:c r="R4" s="3"/>
      <x:c r="S4" s="3"/>
      <x:c r="T4" s="3"/>
    </x:row>
    <x:row r="5" ht="15" hidden="0">
      <x:c r="A5" s="4" t="s">
        <x:v>4</x:v>
      </x:c>
      <x:c r="B5" s="5" t="s">
        <x:v>5</x:v>
      </x:c>
      <x:c r="H5" s="4" t="s">
        <x:v>4</x:v>
      </x:c>
      <x:c r="I5" s="5"/>
      <x:c r="O5" s="4" t="s">
        <x:v>4</x:v>
      </x:c>
      <x:c r="P5" s="5"/>
    </x:row>
    <x:row r="6" ht="15" hidden="0">
      <x:c r="A6" s="4" t="s">
        <x:v>6</x:v>
      </x:c>
      <x:c r="B6" s="5" t="n">
        <x:v>80</x:v>
      </x:c>
      <x:c r="H6" s="4" t="s">
        <x:v>6</x:v>
      </x:c>
      <x:c r="I6" s="5"/>
      <x:c r="O6" s="4" t="s">
        <x:v>6</x:v>
      </x:c>
      <x:c r="P6" s="5"/>
    </x:row>
    <x:row r="7" ht="15" hidden="0">
      <x:c r="A7" s="4" t="s">
        <x:v>7</x:v>
      </x:c>
      <x:c r="B7" s="5" t="n">
        <x:v>2</x:v>
      </x:c>
      <x:c r="H7" s="4" t="s">
        <x:v>7</x:v>
      </x:c>
      <x:c r="I7" s="5"/>
      <x:c r="O7" s="4" t="s">
        <x:v>7</x:v>
      </x:c>
      <x:c r="P7" s="5"/>
    </x:row>
    <x:row r="9" ht="39.54999923706055" hidden="0">
      <x:c r="A9" s="6" t="s">
        <x:v>8</x:v>
      </x:c>
      <x:c r="B9" s="6" t="s">
        <x:v>9</x:v>
      </x:c>
      <x:c r="C9" s="6" t="s">
        <x:v>10</x:v>
      </x:c>
      <x:c r="D9" s="6" t="s">
        <x:v>11</x:v>
      </x:c>
      <x:c r="E9" s="6" t="s">
        <x:v>12</x:v>
      </x:c>
      <x:c r="F9" s="6" t="s">
        <x:v>13</x:v>
      </x:c>
      <x:c r="H9" s="6" t="s">
        <x:v>8</x:v>
      </x:c>
      <x:c r="I9" s="6" t="s">
        <x:v>9</x:v>
      </x:c>
      <x:c r="J9" s="6" t="s">
        <x:v>10</x:v>
      </x:c>
      <x:c r="K9" s="6" t="s">
        <x:v>11</x:v>
      </x:c>
      <x:c r="L9" s="6" t="s">
        <x:v>12</x:v>
      </x:c>
      <x:c r="M9" s="6" t="s">
        <x:v>13</x:v>
      </x:c>
      <x:c r="O9" s="6" t="s">
        <x:v>8</x:v>
      </x:c>
      <x:c r="P9" s="6" t="s">
        <x:v>9</x:v>
      </x:c>
      <x:c r="Q9" s="6" t="s">
        <x:v>10</x:v>
      </x:c>
      <x:c r="R9" s="6" t="s">
        <x:v>11</x:v>
      </x:c>
      <x:c r="S9" s="6" t="s">
        <x:v>12</x:v>
      </x:c>
      <x:c r="T9" s="6" t="s">
        <x:v>13</x:v>
      </x:c>
    </x:row>
    <x:row r="10" ht="15" hidden="0">
      <x:c r="A10" s="7" t="n">
        <x:v>1</x:v>
      </x:c>
      <x:c r="B10" s="8" t="n">
        <x:v>46245</x:v>
      </x:c>
      <x:c r="C10" s="9" t="n">
        <x:f aca="0">IF(B6="","",B6*0.5)</x:f>
        <x:v>40</x:v>
      </x:c>
      <x:c r="D10" s="10"/>
      <x:c r="E10" s="9" t="str">
        <x:f aca="0">IF(OR(C10="",D10=""),"",C10*D10)</x:f>
      </x:c>
      <x:c r="F10" s="9" t="str">
        <x:f aca="0">IF(OR(C10="",D10=""),"",C10*(1+0.03*D10))</x:f>
      </x:c>
      <x:c r="H10" s="7" t="n">
        <x:v>1</x:v>
      </x:c>
      <x:c r="I10" s="8"/>
      <x:c r="J10" s="9" t="str">
        <x:f aca="0">IF(I6="","",I6*0.5)</x:f>
      </x:c>
      <x:c r="K10" s="10"/>
      <x:c r="L10" s="9" t="str">
        <x:f aca="0">IF(OR(J10="",K10=""),"",J10*K10)</x:f>
      </x:c>
      <x:c r="M10" s="9" t="str">
        <x:f aca="0">IF(OR(J10="",K10=""),"",J10*(1+0.03*K10))</x:f>
      </x:c>
      <x:c r="O10" s="7" t="n">
        <x:v>1</x:v>
      </x:c>
      <x:c r="P10" s="8"/>
      <x:c r="Q10" s="9" t="str">
        <x:f aca="0">IF(P6="","",P6*0.5)</x:f>
      </x:c>
      <x:c r="R10" s="10"/>
      <x:c r="S10" s="9" t="str">
        <x:f aca="0">IF(OR(Q10="",R10=""),"",Q10*R10)</x:f>
      </x:c>
      <x:c r="T10" s="9" t="str">
        <x:f aca="0">IF(OR(Q10="",R10=""),"",Q10*(1+0.03*R10))</x:f>
      </x:c>
    </x:row>
    <x:row r="11" ht="15" hidden="0">
      <x:c r="A11" s="7" t="n">
        <x:v>2</x:v>
      </x:c>
      <x:c r="B11" s="8" t="n">
        <x:f aca="0">IF(B10="","",B10+IF(WEEKDAY(B10,2)=2,3,4))</x:f>
        <x:v>46248</x:v>
      </x:c>
      <x:c r="C11" s="9" t="n">
        <x:f aca="0">IF(C10="","",C10+IF(B7="",0,B7))</x:f>
        <x:v>42</x:v>
      </x:c>
      <x:c r="D11" s="10"/>
      <x:c r="E11" s="9" t="str">
        <x:f aca="0">IF(OR(C11="",D11=""),"",C11*D11)</x:f>
      </x:c>
      <x:c r="F11" s="9" t="str">
        <x:f aca="0">IF(OR(C11="",D11=""),"",C11*(1+0.03*D11))</x:f>
      </x:c>
      <x:c r="H11" s="7" t="n">
        <x:v>2</x:v>
      </x:c>
      <x:c r="I11" s="8" t="str">
        <x:f aca="0">IF(I10="","",I10+IF(WEEKDAY(I10,2)=2,3,4))</x:f>
      </x:c>
      <x:c r="J11" s="9" t="str">
        <x:f aca="0">IF(J10="","",J10+IF(I7="",0,I7))</x:f>
      </x:c>
      <x:c r="K11" s="10"/>
      <x:c r="L11" s="9" t="str">
        <x:f aca="0">IF(OR(J11="",K11=""),"",J11*K11)</x:f>
      </x:c>
      <x:c r="M11" s="9" t="str">
        <x:f aca="0">IF(OR(J11="",K11=""),"",J11*(1+0.03*K11))</x:f>
      </x:c>
      <x:c r="O11" s="7" t="n">
        <x:v>2</x:v>
      </x:c>
      <x:c r="P11" s="8" t="str">
        <x:f aca="0">IF(P10="","",P10+IF(WEEKDAY(P10,2)=2,3,4))</x:f>
      </x:c>
      <x:c r="Q11" s="9" t="str">
        <x:f aca="0">IF(Q10="","",Q10+IF(P7="",0,P7))</x:f>
      </x:c>
      <x:c r="R11" s="10"/>
      <x:c r="S11" s="9" t="str">
        <x:f aca="0">IF(OR(Q11="",R11=""),"",Q11*R11)</x:f>
      </x:c>
      <x:c r="T11" s="9" t="str">
        <x:f aca="0">IF(OR(Q11="",R11=""),"",Q11*(1+0.03*R11))</x:f>
      </x:c>
    </x:row>
    <x:row r="12" ht="15" hidden="0">
      <x:c r="A12" s="7" t="n">
        <x:v>3</x:v>
      </x:c>
      <x:c r="B12" s="8" t="n">
        <x:f aca="0">IF(B11="","",B11+IF(WEEKDAY(B11,2)=2,3,4))</x:f>
        <x:v>46252</x:v>
      </x:c>
      <x:c r="C12" s="9" t="n">
        <x:f aca="0">IF(C11="","",C11+IF(B7="",0,B7))</x:f>
        <x:v>44</x:v>
      </x:c>
      <x:c r="D12" s="10"/>
      <x:c r="E12" s="9" t="str">
        <x:f aca="0">IF(OR(C12="",D12=""),"",C12*D12)</x:f>
      </x:c>
      <x:c r="F12" s="9" t="str">
        <x:f aca="0">IF(OR(C12="",D12=""),"",C12*(1+0.03*D12))</x:f>
      </x:c>
      <x:c r="H12" s="7" t="n">
        <x:v>3</x:v>
      </x:c>
      <x:c r="I12" s="8" t="str">
        <x:f aca="0">IF(I11="","",I11+IF(WEEKDAY(I11,2)=2,3,4))</x:f>
      </x:c>
      <x:c r="J12" s="9" t="str">
        <x:f aca="0">IF(J11="","",J11+IF(I7="",0,I7))</x:f>
      </x:c>
      <x:c r="K12" s="10"/>
      <x:c r="L12" s="9" t="str">
        <x:f aca="0">IF(OR(J12="",K12=""),"",J12*K12)</x:f>
      </x:c>
      <x:c r="M12" s="9" t="str">
        <x:f aca="0">IF(OR(J12="",K12=""),"",J12*(1+0.03*K12))</x:f>
      </x:c>
      <x:c r="O12" s="7" t="n">
        <x:v>3</x:v>
      </x:c>
      <x:c r="P12" s="8" t="str">
        <x:f aca="0">IF(P11="","",P11+IF(WEEKDAY(P11,2)=2,3,4))</x:f>
      </x:c>
      <x:c r="Q12" s="9" t="str">
        <x:f aca="0">IF(Q11="","",Q11+IF(P7="",0,P7))</x:f>
      </x:c>
      <x:c r="R12" s="10"/>
      <x:c r="S12" s="9" t="str">
        <x:f aca="0">IF(OR(Q12="",R12=""),"",Q12*R12)</x:f>
      </x:c>
      <x:c r="T12" s="9" t="str">
        <x:f aca="0">IF(OR(Q12="",R12=""),"",Q12*(1+0.03*R12))</x:f>
      </x:c>
    </x:row>
    <x:row r="13" ht="15" hidden="0">
      <x:c r="A13" s="7" t="n">
        <x:v>4</x:v>
      </x:c>
      <x:c r="B13" s="8" t="n">
        <x:f aca="0">IF(B12="","",B12+IF(WEEKDAY(B12,2)=2,3,4))</x:f>
        <x:v>46255</x:v>
      </x:c>
      <x:c r="C13" s="9" t="n">
        <x:f aca="0">IF(C12="","",C12+IF(B7="",0,B7))</x:f>
        <x:v>46</x:v>
      </x:c>
      <x:c r="D13" s="10"/>
      <x:c r="E13" s="9" t="str">
        <x:f aca="0">IF(OR(C13="",D13=""),"",C13*D13)</x:f>
      </x:c>
      <x:c r="F13" s="9" t="str">
        <x:f aca="0">IF(OR(C13="",D13=""),"",C13*(1+0.03*D13))</x:f>
      </x:c>
      <x:c r="H13" s="7" t="n">
        <x:v>4</x:v>
      </x:c>
      <x:c r="I13" s="8" t="str">
        <x:f aca="0">IF(I12="","",I12+IF(WEEKDAY(I12,2)=2,3,4))</x:f>
      </x:c>
      <x:c r="J13" s="9" t="str">
        <x:f aca="0">IF(J12="","",J12+IF(I7="",0,I7))</x:f>
      </x:c>
      <x:c r="K13" s="10"/>
      <x:c r="L13" s="9" t="str">
        <x:f aca="0">IF(OR(J13="",K13=""),"",J13*K13)</x:f>
      </x:c>
      <x:c r="M13" s="9" t="str">
        <x:f aca="0">IF(OR(J13="",K13=""),"",J13*(1+0.03*K13))</x:f>
      </x:c>
      <x:c r="O13" s="7" t="n">
        <x:v>4</x:v>
      </x:c>
      <x:c r="P13" s="8" t="str">
        <x:f aca="0">IF(P12="","",P12+IF(WEEKDAY(P12,2)=2,3,4))</x:f>
      </x:c>
      <x:c r="Q13" s="9" t="str">
        <x:f aca="0">IF(Q12="","",Q12+IF(P7="",0,P7))</x:f>
      </x:c>
      <x:c r="R13" s="10"/>
      <x:c r="S13" s="9" t="str">
        <x:f aca="0">IF(OR(Q13="",R13=""),"",Q13*R13)</x:f>
      </x:c>
      <x:c r="T13" s="9" t="str">
        <x:f aca="0">IF(OR(Q13="",R13=""),"",Q13*(1+0.03*R13))</x:f>
      </x:c>
    </x:row>
    <x:row r="14" ht="15" hidden="0">
      <x:c r="A14" s="7" t="n">
        <x:v>5</x:v>
      </x:c>
      <x:c r="B14" s="8" t="n">
        <x:f aca="0">IF(B13="","",B13+IF(WEEKDAY(B13,2)=2,3,4))</x:f>
        <x:v>46259</x:v>
      </x:c>
      <x:c r="C14" s="9" t="n">
        <x:f aca="0">IF(C13="","",C13+IF(B7="",0,B7))</x:f>
        <x:v>48</x:v>
      </x:c>
      <x:c r="D14" s="10"/>
      <x:c r="E14" s="9" t="str">
        <x:f aca="0">IF(OR(C14="",D14=""),"",C14*D14)</x:f>
      </x:c>
      <x:c r="F14" s="9" t="str">
        <x:f aca="0">IF(OR(C14="",D14=""),"",C14*(1+0.03*D14))</x:f>
      </x:c>
      <x:c r="H14" s="7" t="n">
        <x:v>5</x:v>
      </x:c>
      <x:c r="I14" s="8" t="str">
        <x:f aca="0">IF(I13="","",I13+IF(WEEKDAY(I13,2)=2,3,4))</x:f>
      </x:c>
      <x:c r="J14" s="9" t="str">
        <x:f aca="0">IF(J13="","",J13+IF(I7="",0,I7))</x:f>
      </x:c>
      <x:c r="K14" s="10"/>
      <x:c r="L14" s="9" t="str">
        <x:f aca="0">IF(OR(J14="",K14=""),"",J14*K14)</x:f>
      </x:c>
      <x:c r="M14" s="9" t="str">
        <x:f aca="0">IF(OR(J14="",K14=""),"",J14*(1+0.03*K14))</x:f>
      </x:c>
      <x:c r="O14" s="7" t="n">
        <x:v>5</x:v>
      </x:c>
      <x:c r="P14" s="8" t="str">
        <x:f aca="0">IF(P13="","",P13+IF(WEEKDAY(P13,2)=2,3,4))</x:f>
      </x:c>
      <x:c r="Q14" s="9" t="str">
        <x:f aca="0">IF(Q13="","",Q13+IF(P7="",0,P7))</x:f>
      </x:c>
      <x:c r="R14" s="10"/>
      <x:c r="S14" s="9" t="str">
        <x:f aca="0">IF(OR(Q14="",R14=""),"",Q14*R14)</x:f>
      </x:c>
      <x:c r="T14" s="9" t="str">
        <x:f aca="0">IF(OR(Q14="",R14=""),"",Q14*(1+0.03*R14))</x:f>
      </x:c>
    </x:row>
    <x:row r="15" ht="15" hidden="0">
      <x:c r="A15" s="7" t="n">
        <x:v>6</x:v>
      </x:c>
      <x:c r="B15" s="8" t="n">
        <x:f aca="0">IF(B14="","",B14+IF(WEEKDAY(B14,2)=2,3,4))</x:f>
        <x:v>46262</x:v>
      </x:c>
      <x:c r="C15" s="9" t="n">
        <x:f aca="0">IF(C14="","",C14+IF(B7="",0,B7))</x:f>
        <x:v>50</x:v>
      </x:c>
      <x:c r="D15" s="10"/>
      <x:c r="E15" s="9" t="str">
        <x:f aca="0">IF(OR(C15="",D15=""),"",C15*D15)</x:f>
      </x:c>
      <x:c r="F15" s="9" t="str">
        <x:f aca="0">IF(OR(C15="",D15=""),"",C15*(1+0.03*D15))</x:f>
      </x:c>
      <x:c r="H15" s="7" t="n">
        <x:v>6</x:v>
      </x:c>
      <x:c r="I15" s="8" t="str">
        <x:f aca="0">IF(I14="","",I14+IF(WEEKDAY(I14,2)=2,3,4))</x:f>
      </x:c>
      <x:c r="J15" s="9" t="str">
        <x:f aca="0">IF(J14="","",J14+IF(I7="",0,I7))</x:f>
      </x:c>
      <x:c r="K15" s="10"/>
      <x:c r="L15" s="9" t="str">
        <x:f aca="0">IF(OR(J15="",K15=""),"",J15*K15)</x:f>
      </x:c>
      <x:c r="M15" s="9" t="str">
        <x:f aca="0">IF(OR(J15="",K15=""),"",J15*(1+0.03*K15))</x:f>
      </x:c>
      <x:c r="O15" s="7" t="n">
        <x:v>6</x:v>
      </x:c>
      <x:c r="P15" s="8" t="str">
        <x:f aca="0">IF(P14="","",P14+IF(WEEKDAY(P14,2)=2,3,4))</x:f>
      </x:c>
      <x:c r="Q15" s="9" t="str">
        <x:f aca="0">IF(Q14="","",Q14+IF(P7="",0,P7))</x:f>
      </x:c>
      <x:c r="R15" s="10"/>
      <x:c r="S15" s="9" t="str">
        <x:f aca="0">IF(OR(Q15="",R15=""),"",Q15*R15)</x:f>
      </x:c>
      <x:c r="T15" s="9" t="str">
        <x:f aca="0">IF(OR(Q15="",R15=""),"",Q15*(1+0.03*R15))</x:f>
      </x:c>
    </x:row>
    <x:row r="16" ht="15" hidden="0">
      <x:c r="A16" s="7" t="n">
        <x:v>7</x:v>
      </x:c>
      <x:c r="B16" s="8" t="n">
        <x:f aca="0">IF(B15="","",B15+IF(WEEKDAY(B15,2)=2,3,4))</x:f>
        <x:v>46266</x:v>
      </x:c>
      <x:c r="C16" s="9" t="n">
        <x:f aca="0">IF(C15="","",C15+IF(B7="",0,B7))</x:f>
        <x:v>52</x:v>
      </x:c>
      <x:c r="D16" s="10"/>
      <x:c r="E16" s="9" t="str">
        <x:f aca="0">IF(OR(C16="",D16=""),"",C16*D16)</x:f>
      </x:c>
      <x:c r="F16" s="9" t="str">
        <x:f aca="0">IF(OR(C16="",D16=""),"",C16*(1+0.03*D16))</x:f>
      </x:c>
      <x:c r="H16" s="7" t="n">
        <x:v>7</x:v>
      </x:c>
      <x:c r="I16" s="8" t="str">
        <x:f aca="0">IF(I15="","",I15+IF(WEEKDAY(I15,2)=2,3,4))</x:f>
      </x:c>
      <x:c r="J16" s="9" t="str">
        <x:f aca="0">IF(J15="","",J15+IF(I7="",0,I7))</x:f>
      </x:c>
      <x:c r="K16" s="10"/>
      <x:c r="L16" s="9" t="str">
        <x:f aca="0">IF(OR(J16="",K16=""),"",J16*K16)</x:f>
      </x:c>
      <x:c r="M16" s="9" t="str">
        <x:f aca="0">IF(OR(J16="",K16=""),"",J16*(1+0.03*K16))</x:f>
      </x:c>
      <x:c r="O16" s="7" t="n">
        <x:v>7</x:v>
      </x:c>
      <x:c r="P16" s="8" t="str">
        <x:f aca="0">IF(P15="","",P15+IF(WEEKDAY(P15,2)=2,3,4))</x:f>
      </x:c>
      <x:c r="Q16" s="9" t="str">
        <x:f aca="0">IF(Q15="","",Q15+IF(P7="",0,P7))</x:f>
      </x:c>
      <x:c r="R16" s="10"/>
      <x:c r="S16" s="9" t="str">
        <x:f aca="0">IF(OR(Q16="",R16=""),"",Q16*R16)</x:f>
      </x:c>
      <x:c r="T16" s="9" t="str">
        <x:f aca="0">IF(OR(Q16="",R16=""),"",Q16*(1+0.03*R16))</x:f>
      </x:c>
    </x:row>
    <x:row r="17" ht="15" hidden="0">
      <x:c r="A17" s="7" t="n">
        <x:v>8</x:v>
      </x:c>
      <x:c r="B17" s="8" t="n">
        <x:f aca="0">IF(B16="","",B16+IF(WEEKDAY(B16,2)=2,3,4))</x:f>
        <x:v>46269</x:v>
      </x:c>
      <x:c r="C17" s="9" t="n">
        <x:f aca="0">IF(C16="","",C16+IF(B7="",0,B7))</x:f>
        <x:v>54</x:v>
      </x:c>
      <x:c r="D17" s="10"/>
      <x:c r="E17" s="9" t="str">
        <x:f aca="0">IF(OR(C17="",D17=""),"",C17*D17)</x:f>
      </x:c>
      <x:c r="F17" s="9" t="str">
        <x:f aca="0">IF(OR(C17="",D17=""),"",C17*(1+0.03*D17))</x:f>
      </x:c>
      <x:c r="H17" s="7" t="n">
        <x:v>8</x:v>
      </x:c>
      <x:c r="I17" s="8" t="str">
        <x:f aca="0">IF(I16="","",I16+IF(WEEKDAY(I16,2)=2,3,4))</x:f>
      </x:c>
      <x:c r="J17" s="9" t="str">
        <x:f aca="0">IF(J16="","",J16+IF(I7="",0,I7))</x:f>
      </x:c>
      <x:c r="K17" s="10"/>
      <x:c r="L17" s="9" t="str">
        <x:f aca="0">IF(OR(J17="",K17=""),"",J17*K17)</x:f>
      </x:c>
      <x:c r="M17" s="9" t="str">
        <x:f aca="0">IF(OR(J17="",K17=""),"",J17*(1+0.03*K17))</x:f>
      </x:c>
      <x:c r="O17" s="7" t="n">
        <x:v>8</x:v>
      </x:c>
      <x:c r="P17" s="8" t="str">
        <x:f aca="0">IF(P16="","",P16+IF(WEEKDAY(P16,2)=2,3,4))</x:f>
      </x:c>
      <x:c r="Q17" s="9" t="str">
        <x:f aca="0">IF(Q16="","",Q16+IF(P7="",0,P7))</x:f>
      </x:c>
      <x:c r="R17" s="10"/>
      <x:c r="S17" s="9" t="str">
        <x:f aca="0">IF(OR(Q17="",R17=""),"",Q17*R17)</x:f>
      </x:c>
      <x:c r="T17" s="9" t="str">
        <x:f aca="0">IF(OR(Q17="",R17=""),"",Q17*(1+0.03*R17))</x:f>
      </x:c>
    </x:row>
    <x:row r="18" ht="15" hidden="0">
      <x:c r="A18" s="7" t="n">
        <x:v>9</x:v>
      </x:c>
      <x:c r="B18" s="8" t="n">
        <x:f aca="0">IF(B17="","",B17+IF(WEEKDAY(B17,2)=2,3,4))</x:f>
        <x:v>46273</x:v>
      </x:c>
      <x:c r="C18" s="9" t="n">
        <x:f aca="0">IF(C17="","",C17+IF(B7="",0,B7))</x:f>
        <x:v>56</x:v>
      </x:c>
      <x:c r="D18" s="10"/>
      <x:c r="E18" s="9" t="str">
        <x:f aca="0">IF(OR(C18="",D18=""),"",C18*D18)</x:f>
      </x:c>
      <x:c r="F18" s="9" t="str">
        <x:f aca="0">IF(OR(C18="",D18=""),"",C18*(1+0.03*D18))</x:f>
      </x:c>
      <x:c r="H18" s="7" t="n">
        <x:v>9</x:v>
      </x:c>
      <x:c r="I18" s="8" t="str">
        <x:f aca="0">IF(I17="","",I17+IF(WEEKDAY(I17,2)=2,3,4))</x:f>
      </x:c>
      <x:c r="J18" s="9" t="str">
        <x:f aca="0">IF(J17="","",J17+IF(I7="",0,I7))</x:f>
      </x:c>
      <x:c r="K18" s="10"/>
      <x:c r="L18" s="9" t="str">
        <x:f aca="0">IF(OR(J18="",K18=""),"",J18*K18)</x:f>
      </x:c>
      <x:c r="M18" s="9" t="str">
        <x:f aca="0">IF(OR(J18="",K18=""),"",J18*(1+0.03*K18))</x:f>
      </x:c>
      <x:c r="O18" s="7" t="n">
        <x:v>9</x:v>
      </x:c>
      <x:c r="P18" s="8" t="str">
        <x:f aca="0">IF(P17="","",P17+IF(WEEKDAY(P17,2)=2,3,4))</x:f>
      </x:c>
      <x:c r="Q18" s="9" t="str">
        <x:f aca="0">IF(Q17="","",Q17+IF(P7="",0,P7))</x:f>
      </x:c>
      <x:c r="R18" s="10"/>
      <x:c r="S18" s="9" t="str">
        <x:f aca="0">IF(OR(Q18="",R18=""),"",Q18*R18)</x:f>
      </x:c>
      <x:c r="T18" s="9" t="str">
        <x:f aca="0">IF(OR(Q18="",R18=""),"",Q18*(1+0.03*R18))</x:f>
      </x:c>
    </x:row>
    <x:row r="19" ht="15" hidden="0">
      <x:c r="A19" s="7" t="n">
        <x:v>10</x:v>
      </x:c>
      <x:c r="B19" s="8" t="n">
        <x:f aca="0">IF(B18="","",B18+IF(WEEKDAY(B18,2)=2,3,4))</x:f>
        <x:v>46276</x:v>
      </x:c>
      <x:c r="C19" s="9" t="n">
        <x:f aca="0">IF(C18="","",C18+IF(B7="",0,B7))</x:f>
        <x:v>58</x:v>
      </x:c>
      <x:c r="D19" s="10"/>
      <x:c r="E19" s="9" t="str">
        <x:f aca="0">IF(OR(C19="",D19=""),"",C19*D19)</x:f>
      </x:c>
      <x:c r="F19" s="9" t="str">
        <x:f aca="0">IF(OR(C19="",D19=""),"",C19*(1+0.03*D19))</x:f>
      </x:c>
      <x:c r="H19" s="7" t="n">
        <x:v>10</x:v>
      </x:c>
      <x:c r="I19" s="8" t="str">
        <x:f aca="0">IF(I18="","",I18+IF(WEEKDAY(I18,2)=2,3,4))</x:f>
      </x:c>
      <x:c r="J19" s="9" t="str">
        <x:f aca="0">IF(J18="","",J18+IF(I7="",0,I7))</x:f>
      </x:c>
      <x:c r="K19" s="10"/>
      <x:c r="L19" s="9" t="str">
        <x:f aca="0">IF(OR(J19="",K19=""),"",J19*K19)</x:f>
      </x:c>
      <x:c r="M19" s="9" t="str">
        <x:f aca="0">IF(OR(J19="",K19=""),"",J19*(1+0.03*K19))</x:f>
      </x:c>
      <x:c r="O19" s="7" t="n">
        <x:v>10</x:v>
      </x:c>
      <x:c r="P19" s="8" t="str">
        <x:f aca="0">IF(P18="","",P18+IF(WEEKDAY(P18,2)=2,3,4))</x:f>
      </x:c>
      <x:c r="Q19" s="9" t="str">
        <x:f aca="0">IF(Q18="","",Q18+IF(P7="",0,P7))</x:f>
      </x:c>
      <x:c r="R19" s="10"/>
      <x:c r="S19" s="9" t="str">
        <x:f aca="0">IF(OR(Q19="",R19=""),"",Q19*R19)</x:f>
      </x:c>
      <x:c r="T19" s="9" t="str">
        <x:f aca="0">IF(OR(Q19="",R19=""),"",Q19*(1+0.03*R19))</x:f>
      </x:c>
    </x:row>
    <x:row r="20" ht="15" hidden="0">
      <x:c r="A20" s="7" t="n">
        <x:v>11</x:v>
      </x:c>
      <x:c r="B20" s="8" t="n">
        <x:f aca="0">IF(B19="","",B19+IF(WEEKDAY(B19,2)=2,3,4))</x:f>
        <x:v>46280</x:v>
      </x:c>
      <x:c r="C20" s="9" t="n">
        <x:f aca="0">IF(C19="","",C19+IF(B7="",0,B7))</x:f>
        <x:v>60</x:v>
      </x:c>
      <x:c r="D20" s="10"/>
      <x:c r="E20" s="9" t="str">
        <x:f aca="0">IF(OR(C20="",D20=""),"",C20*D20)</x:f>
      </x:c>
      <x:c r="F20" s="9" t="str">
        <x:f aca="0">IF(OR(C20="",D20=""),"",C20*(1+0.03*D20))</x:f>
      </x:c>
      <x:c r="H20" s="7" t="n">
        <x:v>11</x:v>
      </x:c>
      <x:c r="I20" s="8" t="str">
        <x:f aca="0">IF(I19="","",I19+IF(WEEKDAY(I19,2)=2,3,4))</x:f>
      </x:c>
      <x:c r="J20" s="9" t="str">
        <x:f aca="0">IF(J19="","",J19+IF(I7="",0,I7))</x:f>
      </x:c>
      <x:c r="K20" s="10"/>
      <x:c r="L20" s="9" t="str">
        <x:f aca="0">IF(OR(J20="",K20=""),"",J20*K20)</x:f>
      </x:c>
      <x:c r="M20" s="9" t="str">
        <x:f aca="0">IF(OR(J20="",K20=""),"",J20*(1+0.03*K20))</x:f>
      </x:c>
      <x:c r="O20" s="7" t="n">
        <x:v>11</x:v>
      </x:c>
      <x:c r="P20" s="8" t="str">
        <x:f aca="0">IF(P19="","",P19+IF(WEEKDAY(P19,2)=2,3,4))</x:f>
      </x:c>
      <x:c r="Q20" s="9" t="str">
        <x:f aca="0">IF(Q19="","",Q19+IF(P7="",0,P7))</x:f>
      </x:c>
      <x:c r="R20" s="10"/>
      <x:c r="S20" s="9" t="str">
        <x:f aca="0">IF(OR(Q20="",R20=""),"",Q20*R20)</x:f>
      </x:c>
      <x:c r="T20" s="9" t="str">
        <x:f aca="0">IF(OR(Q20="",R20=""),"",Q20*(1+0.03*R20))</x:f>
      </x:c>
    </x:row>
    <x:row r="21" ht="15" hidden="0">
      <x:c r="A21" s="7" t="n">
        <x:v>12</x:v>
      </x:c>
      <x:c r="B21" s="8" t="n">
        <x:f aca="0">IF(B20="","",B20+IF(WEEKDAY(B20,2)=2,3,4))</x:f>
        <x:v>46283</x:v>
      </x:c>
      <x:c r="C21" s="9" t="n">
        <x:f aca="0">IF(C20="","",C20+IF(B7="",0,B7))</x:f>
        <x:v>62</x:v>
      </x:c>
      <x:c r="D21" s="10"/>
      <x:c r="E21" s="9" t="str">
        <x:f aca="0">IF(OR(C21="",D21=""),"",C21*D21)</x:f>
      </x:c>
      <x:c r="F21" s="9" t="str">
        <x:f aca="0">IF(OR(C21="",D21=""),"",C21*(1+0.03*D21))</x:f>
      </x:c>
      <x:c r="H21" s="7" t="n">
        <x:v>12</x:v>
      </x:c>
      <x:c r="I21" s="8" t="str">
        <x:f aca="0">IF(I20="","",I20+IF(WEEKDAY(I20,2)=2,3,4))</x:f>
      </x:c>
      <x:c r="J21" s="9" t="str">
        <x:f aca="0">IF(J20="","",J20+IF(I7="",0,I7))</x:f>
      </x:c>
      <x:c r="K21" s="10"/>
      <x:c r="L21" s="9" t="str">
        <x:f aca="0">IF(OR(J21="",K21=""),"",J21*K21)</x:f>
      </x:c>
      <x:c r="M21" s="9" t="str">
        <x:f aca="0">IF(OR(J21="",K21=""),"",J21*(1+0.03*K21))</x:f>
      </x:c>
      <x:c r="O21" s="7" t="n">
        <x:v>12</x:v>
      </x:c>
      <x:c r="P21" s="8" t="str">
        <x:f aca="0">IF(P20="","",P20+IF(WEEKDAY(P20,2)=2,3,4))</x:f>
      </x:c>
      <x:c r="Q21" s="9" t="str">
        <x:f aca="0">IF(Q20="","",Q20+IF(P7="",0,P7))</x:f>
      </x:c>
      <x:c r="R21" s="10"/>
      <x:c r="S21" s="9" t="str">
        <x:f aca="0">IF(OR(Q21="",R21=""),"",Q21*R21)</x:f>
      </x:c>
      <x:c r="T21" s="9" t="str">
        <x:f aca="0">IF(OR(Q21="",R21=""),"",Q21*(1+0.03*R21))</x:f>
      </x:c>
    </x:row>
    <x:row r="22" ht="15" hidden="0">
      <x:c r="A22" s="7" t="n">
        <x:v>13</x:v>
      </x:c>
      <x:c r="B22" s="8" t="n">
        <x:f aca="0">IF(B21="","",B21+IF(WEEKDAY(B21,2)=2,3,4))</x:f>
        <x:v>46287</x:v>
      </x:c>
      <x:c r="C22" s="9" t="n">
        <x:f aca="0">IF(C21="","",C21+IF(B7="",0,B7))</x:f>
        <x:v>64</x:v>
      </x:c>
      <x:c r="D22" s="10"/>
      <x:c r="E22" s="9" t="str">
        <x:f aca="0">IF(OR(C22="",D22=""),"",C22*D22)</x:f>
      </x:c>
      <x:c r="F22" s="9" t="str">
        <x:f aca="0">IF(OR(C22="",D22=""),"",C22*(1+0.03*D22))</x:f>
      </x:c>
      <x:c r="H22" s="7" t="n">
        <x:v>13</x:v>
      </x:c>
      <x:c r="I22" s="8" t="str">
        <x:f aca="0">IF(I21="","",I21+IF(WEEKDAY(I21,2)=2,3,4))</x:f>
      </x:c>
      <x:c r="J22" s="9" t="str">
        <x:f aca="0">IF(J21="","",J21+IF(I7="",0,I7))</x:f>
      </x:c>
      <x:c r="K22" s="10"/>
      <x:c r="L22" s="9" t="str">
        <x:f aca="0">IF(OR(J22="",K22=""),"",J22*K22)</x:f>
      </x:c>
      <x:c r="M22" s="9" t="str">
        <x:f aca="0">IF(OR(J22="",K22=""),"",J22*(1+0.03*K22))</x:f>
      </x:c>
      <x:c r="O22" s="7" t="n">
        <x:v>13</x:v>
      </x:c>
      <x:c r="P22" s="8" t="str">
        <x:f aca="0">IF(P21="","",P21+IF(WEEKDAY(P21,2)=2,3,4))</x:f>
      </x:c>
      <x:c r="Q22" s="9" t="str">
        <x:f aca="0">IF(Q21="","",Q21+IF(P7="",0,P7))</x:f>
      </x:c>
      <x:c r="R22" s="10"/>
      <x:c r="S22" s="9" t="str">
        <x:f aca="0">IF(OR(Q22="",R22=""),"",Q22*R22)</x:f>
      </x:c>
      <x:c r="T22" s="9" t="str">
        <x:f aca="0">IF(OR(Q22="",R22=""),"",Q22*(1+0.03*R22))</x:f>
      </x:c>
    </x:row>
    <x:row r="23" ht="15" hidden="0">
      <x:c r="A23" s="7" t="n">
        <x:v>14</x:v>
      </x:c>
      <x:c r="B23" s="8" t="n">
        <x:f aca="0">IF(B22="","",B22+IF(WEEKDAY(B22,2)=2,3,4))</x:f>
        <x:v>46290</x:v>
      </x:c>
      <x:c r="C23" s="9" t="n">
        <x:f aca="0">IF(C22="","",C22+IF(B7="",0,B7))</x:f>
        <x:v>66</x:v>
      </x:c>
      <x:c r="D23" s="10"/>
      <x:c r="E23" s="9" t="str">
        <x:f aca="0">IF(OR(C23="",D23=""),"",C23*D23)</x:f>
      </x:c>
      <x:c r="F23" s="9" t="str">
        <x:f aca="0">IF(OR(C23="",D23=""),"",C23*(1+0.03*D23))</x:f>
      </x:c>
      <x:c r="H23" s="7" t="n">
        <x:v>14</x:v>
      </x:c>
      <x:c r="I23" s="8" t="str">
        <x:f aca="0">IF(I22="","",I22+IF(WEEKDAY(I22,2)=2,3,4))</x:f>
      </x:c>
      <x:c r="J23" s="9" t="str">
        <x:f aca="0">IF(J22="","",J22+IF(I7="",0,I7))</x:f>
      </x:c>
      <x:c r="K23" s="10"/>
      <x:c r="L23" s="9" t="str">
        <x:f aca="0">IF(OR(J23="",K23=""),"",J23*K23)</x:f>
      </x:c>
      <x:c r="M23" s="9" t="str">
        <x:f aca="0">IF(OR(J23="",K23=""),"",J23*(1+0.03*K23))</x:f>
      </x:c>
      <x:c r="O23" s="7" t="n">
        <x:v>14</x:v>
      </x:c>
      <x:c r="P23" s="8" t="str">
        <x:f aca="0">IF(P22="","",P22+IF(WEEKDAY(P22,2)=2,3,4))</x:f>
      </x:c>
      <x:c r="Q23" s="9" t="str">
        <x:f aca="0">IF(Q22="","",Q22+IF(P7="",0,P7))</x:f>
      </x:c>
      <x:c r="R23" s="10"/>
      <x:c r="S23" s="9" t="str">
        <x:f aca="0">IF(OR(Q23="",R23=""),"",Q23*R23)</x:f>
      </x:c>
      <x:c r="T23" s="9" t="str">
        <x:f aca="0">IF(OR(Q23="",R23=""),"",Q23*(1+0.03*R23))</x:f>
      </x:c>
    </x:row>
    <x:row r="24" ht="15" hidden="0">
      <x:c r="A24" s="7" t="n">
        <x:v>15</x:v>
      </x:c>
      <x:c r="B24" s="8" t="n">
        <x:f aca="0">IF(B23="","",B23+IF(WEEKDAY(B23,2)=2,3,4))</x:f>
        <x:v>46294</x:v>
      </x:c>
      <x:c r="C24" s="9" t="n">
        <x:f aca="0">IF(C23="","",C23+IF(B7="",0,B7))</x:f>
        <x:v>68</x:v>
      </x:c>
      <x:c r="D24" s="10"/>
      <x:c r="E24" s="9" t="str">
        <x:f aca="0">IF(OR(C24="",D24=""),"",C24*D24)</x:f>
      </x:c>
      <x:c r="F24" s="9" t="str">
        <x:f aca="0">IF(OR(C24="",D24=""),"",C24*(1+0.03*D24))</x:f>
      </x:c>
      <x:c r="H24" s="7" t="n">
        <x:v>15</x:v>
      </x:c>
      <x:c r="I24" s="8" t="str">
        <x:f aca="0">IF(I23="","",I23+IF(WEEKDAY(I23,2)=2,3,4))</x:f>
      </x:c>
      <x:c r="J24" s="9" t="str">
        <x:f aca="0">IF(J23="","",J23+IF(I7="",0,I7))</x:f>
      </x:c>
      <x:c r="K24" s="10"/>
      <x:c r="L24" s="9" t="str">
        <x:f aca="0">IF(OR(J24="",K24=""),"",J24*K24)</x:f>
      </x:c>
      <x:c r="M24" s="9" t="str">
        <x:f aca="0">IF(OR(J24="",K24=""),"",J24*(1+0.03*K24))</x:f>
      </x:c>
      <x:c r="O24" s="7" t="n">
        <x:v>15</x:v>
      </x:c>
      <x:c r="P24" s="8" t="str">
        <x:f aca="0">IF(P23="","",P23+IF(WEEKDAY(P23,2)=2,3,4))</x:f>
      </x:c>
      <x:c r="Q24" s="9" t="str">
        <x:f aca="0">IF(Q23="","",Q23+IF(P7="",0,P7))</x:f>
      </x:c>
      <x:c r="R24" s="10"/>
      <x:c r="S24" s="9" t="str">
        <x:f aca="0">IF(OR(Q24="",R24=""),"",Q24*R24)</x:f>
      </x:c>
      <x:c r="T24" s="9" t="str">
        <x:f aca="0">IF(OR(Q24="",R24=""),"",Q24*(1+0.03*R24))</x:f>
      </x:c>
    </x:row>
    <x:row r="25" ht="15" hidden="0">
      <x:c r="A25" s="7" t="n">
        <x:v>16</x:v>
      </x:c>
      <x:c r="B25" s="8" t="n">
        <x:f aca="0">IF(B24="","",B24+IF(WEEKDAY(B24,2)=2,3,4))</x:f>
        <x:v>46297</x:v>
      </x:c>
      <x:c r="C25" s="9" t="n">
        <x:f aca="0">IF(C24="","",C24+IF(B7="",0,B7))</x:f>
        <x:v>70</x:v>
      </x:c>
      <x:c r="D25" s="10"/>
      <x:c r="E25" s="9" t="str">
        <x:f aca="0">IF(OR(C25="",D25=""),"",C25*D25)</x:f>
      </x:c>
      <x:c r="F25" s="9" t="str">
        <x:f aca="0">IF(OR(C25="",D25=""),"",C25*(1+0.03*D25))</x:f>
      </x:c>
      <x:c r="H25" s="7" t="n">
        <x:v>16</x:v>
      </x:c>
      <x:c r="I25" s="8" t="str">
        <x:f aca="0">IF(I24="","",I24+IF(WEEKDAY(I24,2)=2,3,4))</x:f>
      </x:c>
      <x:c r="J25" s="9" t="str">
        <x:f aca="0">IF(J24="","",J24+IF(I7="",0,I7))</x:f>
      </x:c>
      <x:c r="K25" s="10"/>
      <x:c r="L25" s="9" t="str">
        <x:f aca="0">IF(OR(J25="",K25=""),"",J25*K25)</x:f>
      </x:c>
      <x:c r="M25" s="9" t="str">
        <x:f aca="0">IF(OR(J25="",K25=""),"",J25*(1+0.03*K25))</x:f>
      </x:c>
      <x:c r="O25" s="7" t="n">
        <x:v>16</x:v>
      </x:c>
      <x:c r="P25" s="8" t="str">
        <x:f aca="0">IF(P24="","",P24+IF(WEEKDAY(P24,2)=2,3,4))</x:f>
      </x:c>
      <x:c r="Q25" s="9" t="str">
        <x:f aca="0">IF(Q24="","",Q24+IF(P7="",0,P7))</x:f>
      </x:c>
      <x:c r="R25" s="10"/>
      <x:c r="S25" s="9" t="str">
        <x:f aca="0">IF(OR(Q25="",R25=""),"",Q25*R25)</x:f>
      </x:c>
      <x:c r="T25" s="9" t="str">
        <x:f aca="0">IF(OR(Q25="",R25=""),"",Q25*(1+0.03*R25))</x:f>
      </x:c>
    </x:row>
    <x:row r="26" ht="15" hidden="0">
      <x:c r="A26" s="7" t="n">
        <x:v>17</x:v>
      </x:c>
      <x:c r="B26" s="8" t="n">
        <x:f aca="0">IF(B25="","",B25+IF(WEEKDAY(B25,2)=2,3,4))</x:f>
        <x:v>46301</x:v>
      </x:c>
      <x:c r="C26" s="9" t="n">
        <x:f aca="0">IF(C25="","",C25+IF(B7="",0,B7))</x:f>
        <x:v>72</x:v>
      </x:c>
      <x:c r="D26" s="10"/>
      <x:c r="E26" s="9" t="str">
        <x:f aca="0">IF(OR(C26="",D26=""),"",C26*D26)</x:f>
      </x:c>
      <x:c r="F26" s="9" t="str">
        <x:f aca="0">IF(OR(C26="",D26=""),"",C26*(1+0.03*D26))</x:f>
      </x:c>
      <x:c r="H26" s="7" t="n">
        <x:v>17</x:v>
      </x:c>
      <x:c r="I26" s="8" t="str">
        <x:f aca="0">IF(I25="","",I25+IF(WEEKDAY(I25,2)=2,3,4))</x:f>
      </x:c>
      <x:c r="J26" s="9" t="str">
        <x:f aca="0">IF(J25="","",J25+IF(I7="",0,I7))</x:f>
      </x:c>
      <x:c r="K26" s="10"/>
      <x:c r="L26" s="9" t="str">
        <x:f aca="0">IF(OR(J26="",K26=""),"",J26*K26)</x:f>
      </x:c>
      <x:c r="M26" s="9" t="str">
        <x:f aca="0">IF(OR(J26="",K26=""),"",J26*(1+0.03*K26))</x:f>
      </x:c>
      <x:c r="O26" s="7" t="n">
        <x:v>17</x:v>
      </x:c>
      <x:c r="P26" s="8" t="str">
        <x:f aca="0">IF(P25="","",P25+IF(WEEKDAY(P25,2)=2,3,4))</x:f>
      </x:c>
      <x:c r="Q26" s="9" t="str">
        <x:f aca="0">IF(Q25="","",Q25+IF(P7="",0,P7))</x:f>
      </x:c>
      <x:c r="R26" s="10"/>
      <x:c r="S26" s="9" t="str">
        <x:f aca="0">IF(OR(Q26="",R26=""),"",Q26*R26)</x:f>
      </x:c>
      <x:c r="T26" s="9" t="str">
        <x:f aca="0">IF(OR(Q26="",R26=""),"",Q26*(1+0.03*R26))</x:f>
      </x:c>
    </x:row>
    <x:row r="27" ht="15" hidden="0">
      <x:c r="A27" s="11" t="s">
        <x:v>14</x:v>
      </x:c>
      <x:c r="B27" s="12"/>
      <x:c r="C27" s="12"/>
      <x:c r="D27" s="11" t="n">
        <x:f aca="0">SUM(D10:D26)</x:f>
        <x:v>0</x:v>
      </x:c>
      <x:c r="E27" s="11" t="n">
        <x:f aca="0">SUM(E10:E26)</x:f>
        <x:v>0</x:v>
      </x:c>
      <x:c r="F27" s="12"/>
      <x:c r="H27" s="11" t="s">
        <x:v>14</x:v>
      </x:c>
      <x:c r="I27" s="12"/>
      <x:c r="J27" s="12"/>
      <x:c r="K27" s="11" t="n">
        <x:f aca="0">SUM(K10:K26)</x:f>
        <x:v>0</x:v>
      </x:c>
      <x:c r="L27" s="11" t="n">
        <x:f aca="0">SUM(L10:L26)</x:f>
        <x:v>0</x:v>
      </x:c>
      <x:c r="M27" s="12"/>
      <x:c r="O27" s="11" t="s">
        <x:v>14</x:v>
      </x:c>
      <x:c r="P27" s="12"/>
      <x:c r="Q27" s="12"/>
      <x:c r="R27" s="11" t="n">
        <x:f aca="0">SUM(R10:R26)</x:f>
        <x:v>0</x:v>
      </x:c>
      <x:c r="S27" s="11" t="n">
        <x:f aca="0">SUM(S10:S26)</x:f>
        <x:v>0</x:v>
      </x:c>
      <x:c r="T27" s="12"/>
    </x:row>
    <x:row r="28" ht="15" hidden="0">
      <x:c r="A28" s="4" t="s">
        <x:v>15</x:v>
      </x:c>
      <x:c r="E28" t="n">
        <x:f aca="0">MAX(E10:E26)</x:f>
        <x:v>0</x:v>
      </x:c>
      <x:c r="H28" s="4" t="s">
        <x:v>15</x:v>
      </x:c>
      <x:c r="L28" t="n">
        <x:f aca="0">MAX(L10:L26)</x:f>
        <x:v>0</x:v>
      </x:c>
      <x:c r="O28" s="4" t="s">
        <x:v>15</x:v>
      </x:c>
      <x:c r="S28" t="n">
        <x:f aca="0">MAX(S10:S26)</x:f>
        <x:v>0</x:v>
      </x:c>
    </x:row>
    <x:row r="29" ht="15" hidden="0">
      <x:c r="A29" s="4" t="s">
        <x:v>16</x:v>
      </x:c>
      <x:c r="F29" t="n">
        <x:f aca="0">MAX(F10:F26)</x:f>
        <x:v>0</x:v>
      </x:c>
      <x:c r="H29" s="4" t="s">
        <x:v>16</x:v>
      </x:c>
      <x:c r="M29" t="n">
        <x:f aca="0">MAX(M10:M26)</x:f>
        <x:v>0</x:v>
      </x:c>
      <x:c r="O29" s="4" t="s">
        <x:v>16</x:v>
      </x:c>
      <x:c r="T29" t="n">
        <x:f aca="0">MAX(T10:T26)</x:f>
        <x:v>0</x:v>
      </x:c>
    </x:row>
  </x:sheetData>
  <x:mergeCells>
    <x:mergeCell ref="A2:T2"/>
    <x:mergeCell ref="A4:F4"/>
    <x:mergeCell ref="H4:M4"/>
    <x:mergeCell ref="O4:T4"/>
  </x:mergeCells>
  <x:pageMargins left="0.7" right="0.7" top="0.75" bottom="0.75" header="0.3" footer="0.3"/>
</x:worksheet>
</file>