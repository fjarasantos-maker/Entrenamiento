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low Fit" sheetId="1" state="visible" r:id="rId1"/>
    <sheet xmlns:r="http://schemas.openxmlformats.org/officeDocument/2006/relationships" name="Ciclo 1 (histórico)" sheetId="2" state="visible" r:id="rId2"/>
    <sheet xmlns:r="http://schemas.openxmlformats.org/officeDocument/2006/relationships" name="Ciclo 2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mm/dd/yy"/>
    <numFmt numFmtId="166" formatCode="DD/MM/YYYY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3"/>
    </font>
    <font>
      <name val="Arial"/>
      <charset val="1"/>
      <family val="0"/>
      <sz val="11"/>
    </font>
    <font>
      <name val="Arial"/>
      <charset val="1"/>
      <family val="0"/>
      <b val="1"/>
      <sz val="11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C0C0C0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2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8" fillId="4" borderId="0" pivotButton="0" quotePrefix="0" xfId="0"/>
    <xf numFmtId="166" fontId="0" fillId="5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top" wrapText="1"/>
    </xf>
    <xf numFmtId="0" fontId="6" fillId="3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2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3" customWidth="1" style="12" min="1" max="1"/>
    <col width="30" customWidth="1" style="12" min="2" max="2"/>
    <col width="11" customWidth="1" style="12" min="3" max="3"/>
    <col width="9" customWidth="1" style="12" min="4" max="4"/>
    <col width="14" customWidth="1" style="12" min="5" max="5"/>
    <col width="14" customWidth="1" style="12" min="6" max="6"/>
    <col width="50" customWidth="1" style="12" min="7" max="7"/>
  </cols>
  <sheetData>
    <row r="1">
      <c r="A1" s="13" t="inlineStr">
        <is>
          <t>Progresión Slow Fit — miércoles en el gimnasio (desde 16/09/2026)</t>
        </is>
      </c>
    </row>
    <row r="2">
      <c r="A2" s="18" t="inlineStr">
        <is>
          <t>Celdas amarillas = entrada manual. Una fila por máquina y sesión. 'Próxima sesión' es una fórmula: no sobrescribir.</t>
        </is>
      </c>
    </row>
    <row r="4">
      <c r="A4" s="14" t="inlineStr">
        <is>
          <t>Protocolo:</t>
        </is>
      </c>
      <c r="B4" s="18" t="inlineStr">
        <is>
          <t>1 serie por máquina · tempo 10 s subida / 10 s bajada · sin bloquear ni apoyar · terminar cuando no se mantiene el tempo (sin fallo)</t>
        </is>
      </c>
    </row>
    <row r="5">
      <c r="A5" s="14" t="inlineStr">
        <is>
          <t>TUT objetivo (s):</t>
        </is>
      </c>
      <c r="B5" s="18" t="inlineStr">
        <is>
          <t>90-120</t>
        </is>
      </c>
    </row>
    <row r="6">
      <c r="A6" s="14" t="inlineStr">
        <is>
          <t>Regla de ajuste:</t>
        </is>
      </c>
      <c r="B6" s="18" t="inlineStr">
        <is>
          <t>TUT ≥ 120 s → subir una placa · 90-119 s → mantener · &lt; 90 s → mantener carga y buscar más tiempo (decisión 16/09)</t>
        </is>
      </c>
    </row>
    <row r="7">
      <c r="A7" s="14" t="inlineStr">
        <is>
          <t>Prensa:</t>
        </is>
      </c>
      <c r="B7" s="18" t="inlineStr">
        <is>
          <t>Desde el 23/09/2026, Slow Fit dinámico a tempo 10/10 en rango sin dolor (decisión del usuario 16/09). El 16/09 se hizo en isométrico.</t>
        </is>
      </c>
    </row>
    <row r="8">
      <c r="A8" s="14" t="inlineStr">
        <is>
          <t>Orden:</t>
        </is>
      </c>
      <c r="B8" s="18" t="inlineStr">
        <is>
          <t>Prensa → Jalón al pecho divergente → Chest press → Remo sentado en máquina → Press hombro convergente → Dead bug</t>
        </is>
      </c>
    </row>
    <row r="9">
      <c r="A9" s="18" t="inlineStr">
        <is>
          <t>Placa mínima: si la carga más baja de una máquina deja el TUT por debajo de 90 s, se mantiene y se suman segundos. No se cambia de máquina ni se acorta el recorrido. Caso: press hombro, 14 kg.</t>
        </is>
      </c>
    </row>
    <row r="10">
      <c r="A10" s="15" t="inlineStr">
        <is>
          <t>Fecha</t>
        </is>
      </c>
      <c r="B10" s="15" t="inlineStr">
        <is>
          <t>Máquina</t>
        </is>
      </c>
      <c r="C10" s="15" t="inlineStr">
        <is>
          <t>Carga (kg)</t>
        </is>
      </c>
      <c r="D10" s="15" t="inlineStr">
        <is>
          <t>TUT (s)</t>
        </is>
      </c>
      <c r="E10" s="15" t="inlineStr">
        <is>
          <t>Reps completas</t>
        </is>
      </c>
      <c r="F10" s="15" t="inlineStr">
        <is>
          <t>Próxima sesión</t>
        </is>
      </c>
      <c r="G10" s="15" t="inlineStr">
        <is>
          <t>Notas (asiento, sensaciones)</t>
        </is>
      </c>
    </row>
    <row r="11">
      <c r="A11" s="16" t="n">
        <v>46281</v>
      </c>
      <c r="B11" s="17" t="inlineStr">
        <is>
          <t>Prensa</t>
        </is>
      </c>
      <c r="C11" s="17" t="n"/>
      <c r="D11" s="17" t="n">
        <v>45</v>
      </c>
      <c r="E11" s="17" t="n"/>
      <c r="F11" s="18">
        <f>IF(D11="","",IF(D11&gt;=120,"Subir carga",IF(D11&gt;=90,"Mantener","Mantener y subir tiempo")))</f>
        <v/>
      </c>
      <c r="G11" s="17" t="inlineStr">
        <is>
          <t>Isométrica. Peso no indicado (pendiente). Desde la próxima sesión pasa a Slow Fit dinámico (decisión del usuario).</t>
        </is>
      </c>
    </row>
    <row r="12">
      <c r="A12" s="16" t="n">
        <v>46281</v>
      </c>
      <c r="B12" s="17" t="inlineStr">
        <is>
          <t>Jalón al pecho divergente</t>
        </is>
      </c>
      <c r="C12" s="17" t="n">
        <v>18</v>
      </c>
      <c r="D12" s="17" t="n">
        <v>120</v>
      </c>
      <c r="E12" s="17" t="n"/>
      <c r="F12" s="18">
        <f>IF(D12="","",IF(D12&gt;=120,"Subir carga",IF(D12&gt;=90,"Mantener","Mantener y subir tiempo")))</f>
        <v/>
      </c>
      <c r="G12" s="17" t="inlineStr">
        <is>
          <t>Fácil. El usuario subirá una placa la próxima sesión.</t>
        </is>
      </c>
    </row>
    <row r="13">
      <c r="A13" s="16" t="n">
        <v>46281</v>
      </c>
      <c r="B13" s="17" t="inlineStr">
        <is>
          <t>Chest press</t>
        </is>
      </c>
      <c r="C13" s="17" t="n">
        <v>18</v>
      </c>
      <c r="D13" s="17" t="n">
        <v>60</v>
      </c>
      <c r="E13" s="17" t="n"/>
      <c r="F13" s="18">
        <f>IF(D13="","",IF(D13&gt;=120,"Subir carga",IF(D13&gt;=90,"Mantener","Mantener y subir tiempo")))</f>
        <v/>
      </c>
      <c r="G13" s="17" t="inlineStr">
        <is>
          <t>Muy exigente. Próxima sesión: misma carga, más tiempo.</t>
        </is>
      </c>
    </row>
    <row r="14">
      <c r="A14" s="16" t="n">
        <v>46281</v>
      </c>
      <c r="B14" s="17" t="inlineStr">
        <is>
          <t>Remo sentado en máquina</t>
        </is>
      </c>
      <c r="C14" s="17" t="n">
        <v>18</v>
      </c>
      <c r="D14" s="17" t="n">
        <v>120</v>
      </c>
      <c r="E14" s="17" t="n"/>
      <c r="F14" s="18">
        <f>IF(D14="","",IF(D14&gt;=120,"Subir carga",IF(D14&gt;=90,"Mantener","Mantener y subir tiempo")))</f>
        <v/>
      </c>
      <c r="G14" s="17" t="inlineStr">
        <is>
          <t>Fácil. El usuario subirá una placa la próxima sesión.</t>
        </is>
      </c>
    </row>
    <row r="15">
      <c r="A15" s="16" t="n">
        <v>46281</v>
      </c>
      <c r="B15" s="17" t="inlineStr">
        <is>
          <t>Press hombro convergente</t>
        </is>
      </c>
      <c r="C15" s="17" t="n">
        <v>14</v>
      </c>
      <c r="D15" s="17" t="n">
        <v>60</v>
      </c>
      <c r="E15" s="17" t="n"/>
      <c r="F15" s="18">
        <f>IF(D15="","",IF(D15&gt;=120,"Subir carga",IF(D15&gt;=90,"Mantener","Mantener y subir tiempo")))</f>
        <v/>
      </c>
      <c r="G15" s="17" t="inlineStr">
        <is>
          <t>Muy exigente. Próxima sesión: misma carga, más tiempo.</t>
        </is>
      </c>
    </row>
    <row r="16">
      <c r="A16" s="16" t="n">
        <v>46295</v>
      </c>
      <c r="B16" s="17" t="inlineStr">
        <is>
          <t>Prensa</t>
        </is>
      </c>
      <c r="C16" s="17" t="n">
        <v>18</v>
      </c>
      <c r="D16" s="17" t="n">
        <v>100</v>
      </c>
      <c r="E16" s="17" t="n"/>
      <c r="F16" s="18">
        <f>IF(D16="","",IF(D16&gt;=120,"Subir carga",IF(D16&gt;=90,"Mantener","Mantener y subir tiempo")))</f>
        <v/>
      </c>
      <c r="G16" s="17" t="inlineStr">
        <is>
          <t>Primera sesión con prensa dinámica (Slow Fit 10/10). Dentro del rango objetivo: mantener carga.</t>
        </is>
      </c>
    </row>
    <row r="17">
      <c r="A17" s="16" t="n">
        <v>46295</v>
      </c>
      <c r="B17" s="17" t="inlineStr">
        <is>
          <t>Jalón al pecho divergente</t>
        </is>
      </c>
      <c r="C17" s="17" t="n">
        <v>23</v>
      </c>
      <c r="D17" s="17" t="n">
        <v>75</v>
      </c>
      <c r="E17" s="17" t="n"/>
      <c r="F17" s="18">
        <f>IF(D17="","",IF(D17&gt;=120,"Subir carga",IF(D17&gt;=90,"Mantener","Mantener y subir tiempo")))</f>
        <v/>
      </c>
      <c r="G17" s="17" t="inlineStr">
        <is>
          <t>Sube de 18 a 23 kg y el tiempo baja de 120 a 75 s. Mantener 23 kg y buscar más tiempo.</t>
        </is>
      </c>
    </row>
    <row r="18">
      <c r="A18" s="16" t="n">
        <v>46295</v>
      </c>
      <c r="B18" s="17" t="inlineStr">
        <is>
          <t>Chest press</t>
        </is>
      </c>
      <c r="C18" s="17" t="n">
        <v>18</v>
      </c>
      <c r="D18" s="17" t="n">
        <v>60</v>
      </c>
      <c r="E18" s="17" t="n"/>
      <c r="F18" s="18">
        <f>IF(D18="","",IF(D18&gt;=120,"Subir carga",IF(D18&gt;=90,"Mantener","Mantener y subir tiempo")))</f>
        <v/>
      </c>
      <c r="G18" s="17" t="inlineStr">
        <is>
          <t>Repite 18 kg y 60 s, igual que el 16/09. Mantener carga y buscar más tiempo.</t>
        </is>
      </c>
    </row>
    <row r="19">
      <c r="A19" s="16" t="n">
        <v>46295</v>
      </c>
      <c r="B19" s="17" t="inlineStr">
        <is>
          <t>Remo sentado en máquina</t>
        </is>
      </c>
      <c r="C19" s="17" t="n">
        <v>25</v>
      </c>
      <c r="D19" s="17" t="n">
        <v>45</v>
      </c>
      <c r="E19" s="17" t="n"/>
      <c r="F19" s="18">
        <f>IF(D19="","",IF(D19&gt;=120,"Subir carga",IF(D19&gt;=90,"Mantener","Mantener y subir tiempo")))</f>
        <v/>
      </c>
      <c r="G19" s="17" t="inlineStr">
        <is>
          <t>Sube de 18 a 25 kg (+7) y el tiempo cae de 120 a 45 s. Carga corregida: eran 25 kg, no 23.</t>
        </is>
      </c>
    </row>
    <row r="20">
      <c r="A20" s="16" t="n">
        <v>46295</v>
      </c>
      <c r="B20" s="17" t="inlineStr">
        <is>
          <t>Press hombro convergente</t>
        </is>
      </c>
      <c r="C20" s="17" t="n">
        <v>14</v>
      </c>
      <c r="D20" s="17" t="n">
        <v>60</v>
      </c>
      <c r="E20" s="17" t="n"/>
      <c r="F20" s="18">
        <f>IF(D20="","",IF(D20&gt;=120,"Subir carga",IF(D20&gt;=90,"Mantener","Mantener y subir tiempo")))</f>
        <v/>
      </c>
      <c r="G20" s="17" t="inlineStr">
        <is>
          <t>Repite 14 kg y 60 s, igual que el 16/09. Mantener carga y buscar más tiempo.</t>
        </is>
      </c>
    </row>
    <row r="21">
      <c r="A21" s="16" t="n">
        <v>46301</v>
      </c>
      <c r="B21" s="17" t="inlineStr">
        <is>
          <t>Prensa</t>
        </is>
      </c>
      <c r="C21" s="17" t="n">
        <v>18</v>
      </c>
      <c r="D21" s="17" t="n">
        <v>120</v>
      </c>
      <c r="E21" s="17" t="n"/>
      <c r="F21" s="18">
        <f>IF(D21="","",IF(D21&gt;=120,"Subir carga",IF(D21&gt;=90,"Mantener","Mantener y subir tiempo")))</f>
        <v/>
      </c>
      <c r="G21" s="17" t="inlineStr">
        <is>
          <t>120 s: toca subir una placa la próxima sesión.</t>
        </is>
      </c>
    </row>
    <row r="22">
      <c r="A22" s="16" t="n">
        <v>46301</v>
      </c>
      <c r="B22" s="17" t="inlineStr">
        <is>
          <t>Jalón al pecho divergente</t>
        </is>
      </c>
      <c r="C22" s="17" t="n">
        <v>23</v>
      </c>
      <c r="D22" s="17" t="n">
        <v>90</v>
      </c>
      <c r="E22" s="17" t="n"/>
      <c r="F22" s="18">
        <f>IF(D22="","",IF(D22&gt;=120,"Subir carga",IF(D22&gt;=90,"Mantener","Mantener y subir tiempo")))</f>
        <v/>
      </c>
      <c r="G22" s="17" t="inlineStr">
        <is>
          <t>Sube de 75 a 90 s con los mismos 23 kg. Ya en rango: mantener.</t>
        </is>
      </c>
    </row>
    <row r="23">
      <c r="A23" s="16" t="n">
        <v>46301</v>
      </c>
      <c r="B23" s="17" t="inlineStr">
        <is>
          <t>Chest press</t>
        </is>
      </c>
      <c r="C23" s="17" t="n">
        <v>18</v>
      </c>
      <c r="D23" s="17" t="n">
        <v>60</v>
      </c>
      <c r="E23" s="17" t="n"/>
      <c r="F23" s="18">
        <f>IF(D23="","",IF(D23&gt;=120,"Subir carga",IF(D23&gt;=90,"Mantener","Mantener y subir tiempo")))</f>
        <v/>
      </c>
      <c r="G23" s="17" t="inlineStr">
        <is>
          <t>Tercera sesión seguida en 60 s con 18 kg. Valorar bajar un escalón para poder llegar a 90 s.</t>
        </is>
      </c>
    </row>
    <row r="24">
      <c r="A24" s="16" t="n">
        <v>46301</v>
      </c>
      <c r="B24" s="17" t="inlineStr">
        <is>
          <t>Remo sentado en máquina</t>
        </is>
      </c>
      <c r="C24" s="17" t="n">
        <v>25</v>
      </c>
      <c r="D24" s="17" t="n">
        <v>45</v>
      </c>
      <c r="E24" s="17" t="n"/>
      <c r="F24" s="18">
        <f>IF(D24="","",IF(D24&gt;=120,"Subir carga",IF(D24&gt;=90,"Mantener","Mantener y subir tiempo")))</f>
        <v/>
      </c>
      <c r="G24" s="17" t="inlineStr">
        <is>
          <t>Segunda sesión en 45 s con 25 kg. Valorar bajar a ~20 kg.</t>
        </is>
      </c>
    </row>
    <row r="25">
      <c r="A25" s="16" t="n">
        <v>46301</v>
      </c>
      <c r="B25" s="17" t="inlineStr">
        <is>
          <t>Press hombro convergente</t>
        </is>
      </c>
      <c r="C25" s="17" t="n">
        <v>14</v>
      </c>
      <c r="D25" s="17" t="n">
        <v>60</v>
      </c>
      <c r="E25" s="17" t="n"/>
      <c r="F25" s="18">
        <f>IF(D25="","",IF(D25&gt;=120,"Subir carga",IF(D25&gt;=90,"Mantener","Mantener y subir tiempo")))</f>
        <v/>
      </c>
      <c r="G25" s="17" t="inlineStr">
        <is>
          <t>Tercera sesión seguida en 60 s con 14 kg. Valorar bajar un escalón.</t>
        </is>
      </c>
    </row>
    <row r="26">
      <c r="A26" s="16" t="n">
        <v>46303</v>
      </c>
      <c r="B26" s="17" t="inlineStr">
        <is>
          <t>Prensa</t>
        </is>
      </c>
      <c r="C26" s="17" t="n">
        <v>18</v>
      </c>
      <c r="D26" s="17" t="n">
        <v>120</v>
      </c>
      <c r="E26" s="17" t="n"/>
      <c r="F26" s="18">
        <f>IF(D26="","",IF(D26&gt;=120,"Subir carga",IF(D26&gt;=90,"Mantener","Mantener y subir tiempo")))</f>
        <v/>
      </c>
      <c r="G26" s="17" t="inlineStr">
        <is>
          <t>Segunda sesión seguida en 120 s. Pendiente subir una placa (ya tocaba el 08/10).</t>
        </is>
      </c>
    </row>
    <row r="27">
      <c r="A27" s="16" t="n">
        <v>46303</v>
      </c>
      <c r="B27" s="17" t="inlineStr">
        <is>
          <t>Jalón al pecho divergente</t>
        </is>
      </c>
      <c r="C27" s="17" t="n">
        <v>23</v>
      </c>
      <c r="D27" s="17" t="n">
        <v>90</v>
      </c>
      <c r="E27" s="17" t="n"/>
      <c r="F27" s="18">
        <f>IF(D27="","",IF(D27&gt;=120,"Subir carga",IF(D27&gt;=90,"Mantener","Mantener y subir tiempo")))</f>
        <v/>
      </c>
      <c r="G27" s="17" t="inlineStr">
        <is>
          <t>Repite los 90 s del martes. Segunda sesión de la semana sin caída.</t>
        </is>
      </c>
    </row>
    <row r="28">
      <c r="A28" s="16" t="n">
        <v>46303</v>
      </c>
      <c r="B28" s="17" t="inlineStr">
        <is>
          <t>Chest press</t>
        </is>
      </c>
      <c r="C28" s="17" t="n">
        <v>18</v>
      </c>
      <c r="D28" s="17" t="n">
        <v>65</v>
      </c>
      <c r="E28" s="17" t="n"/>
      <c r="F28" s="18">
        <f>IF(D28="","",IF(D28&gt;=120,"Subir carga",IF(D28&gt;=90,"Mantener","Mantener y subir tiempo")))</f>
        <v/>
      </c>
      <c r="G28" s="17" t="inlineStr">
        <is>
          <t>Sube de 60 a 65 s. Primera mejora tras tres sesiones clavadas.</t>
        </is>
      </c>
    </row>
    <row r="29">
      <c r="A29" s="16" t="n">
        <v>46303</v>
      </c>
      <c r="B29" s="17" t="inlineStr">
        <is>
          <t>Remo sentado en máquina</t>
        </is>
      </c>
      <c r="C29" s="17" t="n">
        <v>25</v>
      </c>
      <c r="D29" s="17" t="n">
        <v>65</v>
      </c>
      <c r="E29" s="17" t="n"/>
      <c r="F29" s="18">
        <f>IF(D29="","",IF(D29&gt;=120,"Subir carga",IF(D29&gt;=90,"Mantener","Mantener y subir tiempo")))</f>
        <v/>
      </c>
      <c r="G29" s="17" t="inlineStr">
        <is>
          <t>Sube de 45 a 65 s con los mismos 25 kg. Mejor salto de la semana.</t>
        </is>
      </c>
    </row>
    <row r="30">
      <c r="A30" s="16" t="n">
        <v>46303</v>
      </c>
      <c r="B30" s="17" t="inlineStr">
        <is>
          <t>Press hombro convergente</t>
        </is>
      </c>
      <c r="C30" s="17" t="n">
        <v>14</v>
      </c>
      <c r="D30" s="17" t="n">
        <v>60</v>
      </c>
      <c r="E30" s="17" t="n"/>
      <c r="F30" s="18">
        <f>IF(D30="","",IF(D30&gt;=120,"Subir carga",IF(D30&gt;=90,"Mantener","Mantener y subir tiempo")))</f>
        <v/>
      </c>
      <c r="G30" s="17" t="inlineStr">
        <is>
          <t>Cuarta sesión seguida en 60 s. Es la única máquina que no se mueve: valorar bajar un escalón.</t>
        </is>
      </c>
    </row>
    <row r="31">
      <c r="A31" s="16" t="n">
        <v>46308</v>
      </c>
      <c r="B31" s="17" t="inlineStr">
        <is>
          <t>Prensa</t>
        </is>
      </c>
      <c r="C31" s="17" t="n">
        <v>18</v>
      </c>
      <c r="D31" s="17" t="n">
        <v>70</v>
      </c>
      <c r="E31" s="17" t="n"/>
      <c r="F31" s="18">
        <f>IF(D31="","",IF(D31&gt;=120,"Subir carga",IF(D31&gt;=90,"Mantener","Mantener y subir tiempo")))</f>
        <v/>
      </c>
      <c r="G31" s="17" t="inlineStr">
        <is>
          <t>**Rango acortado** desde hoy: el usuario quita el tramo en el que la palanca aliviaba el esfuerzo. Por eso baja de 120 a 70 s. No comparable con las sesiones anteriores: 70 s es la nueva referencia.</t>
        </is>
      </c>
    </row>
    <row r="32">
      <c r="A32" s="16" t="n">
        <v>46308</v>
      </c>
      <c r="B32" s="17" t="inlineStr">
        <is>
          <t>Jalón al pecho divergente</t>
        </is>
      </c>
      <c r="C32" s="17" t="n">
        <v>23</v>
      </c>
      <c r="D32" s="17" t="n">
        <v>90</v>
      </c>
      <c r="E32" s="17" t="n"/>
      <c r="F32" s="18">
        <f>IF(D32="","",IF(D32&gt;=120,"Subir carga",IF(D32&gt;=90,"Mantener","Mantener y subir tiempo")))</f>
        <v/>
      </c>
      <c r="G32" s="17" t="inlineStr">
        <is>
          <t>Tercera sesión en 90 s con 23 kg. En rango, estable.</t>
        </is>
      </c>
    </row>
    <row r="33">
      <c r="A33" s="16" t="n">
        <v>46308</v>
      </c>
      <c r="B33" s="17" t="inlineStr">
        <is>
          <t>Chest press</t>
        </is>
      </c>
      <c r="C33" s="17" t="n">
        <v>18</v>
      </c>
      <c r="D33" s="17" t="n">
        <v>70</v>
      </c>
      <c r="E33" s="17" t="n"/>
      <c r="F33" s="18">
        <f>IF(D33="","",IF(D33&gt;=120,"Subir carga",IF(D33&gt;=90,"Mantener","Mantener y subir tiempo")))</f>
        <v/>
      </c>
      <c r="G33" s="17" t="inlineStr">
        <is>
          <t>Sube de 65 a 70 s. Tercera mejora seguida (60 → 65 → 70).</t>
        </is>
      </c>
    </row>
    <row r="34">
      <c r="A34" s="16" t="n">
        <v>46308</v>
      </c>
      <c r="B34" s="17" t="inlineStr">
        <is>
          <t>Remo sentado en máquina</t>
        </is>
      </c>
      <c r="C34" s="17" t="n">
        <v>25</v>
      </c>
      <c r="D34" s="17" t="n">
        <v>80</v>
      </c>
      <c r="E34" s="17" t="n"/>
      <c r="F34" s="18">
        <f>IF(D34="","",IF(D34&gt;=120,"Subir carga",IF(D34&gt;=90,"Mantener","Mantener y subir tiempo")))</f>
        <v/>
      </c>
      <c r="G34" s="17" t="inlineStr">
        <is>
          <t>Sube de 65 a 80 s. Acercándose al rango (45 → 65 → 80).</t>
        </is>
      </c>
    </row>
    <row r="35">
      <c r="A35" s="16" t="n">
        <v>46308</v>
      </c>
      <c r="B35" s="17" t="inlineStr">
        <is>
          <t>Press hombro convergente</t>
        </is>
      </c>
      <c r="C35" s="17" t="n">
        <v>14</v>
      </c>
      <c r="D35" s="17" t="n">
        <v>68</v>
      </c>
      <c r="E35" s="17" t="n"/>
      <c r="F35" s="18">
        <f>IF(D35="","",IF(D35&gt;=120,"Subir carga",IF(D35&gt;=90,"Mantener","Mantener y subir tiempo")))</f>
        <v/>
      </c>
      <c r="G35" s="17" t="inlineStr">
        <is>
          <t>**Primer avance**: de 60 a 68 s tras cuatro sesiones clavadas. Carga mínima de la máquina, se progresa solo en tiempo.</t>
        </is>
      </c>
    </row>
    <row r="36">
      <c r="A36" s="16" t="n"/>
      <c r="B36" s="17" t="n"/>
      <c r="C36" s="17" t="n"/>
      <c r="D36" s="17" t="n"/>
      <c r="E36" s="17" t="n"/>
      <c r="F36" s="18">
        <f>IF(D36="","",IF(D36&gt;=120,"Subir carga",IF(D36&gt;=90,"Mantener","Mantener y subir tiempo")))</f>
        <v/>
      </c>
      <c r="G36" s="17" t="n"/>
    </row>
    <row r="37">
      <c r="A37" s="16" t="n"/>
      <c r="B37" s="17" t="n"/>
      <c r="C37" s="17" t="n"/>
      <c r="D37" s="17" t="n"/>
      <c r="E37" s="17" t="n"/>
      <c r="F37" s="18">
        <f>IF(D37="","",IF(D37&gt;=120,"Subir carga",IF(D37&gt;=90,"Mantener","Mantener y subir tiempo")))</f>
        <v/>
      </c>
      <c r="G37" s="17" t="n"/>
    </row>
    <row r="38">
      <c r="A38" s="16" t="n"/>
      <c r="B38" s="17" t="n"/>
      <c r="C38" s="17" t="n"/>
      <c r="D38" s="17" t="n"/>
      <c r="E38" s="17" t="n"/>
      <c r="F38" s="18">
        <f>IF(D38="","",IF(D38&gt;=120,"Subir carga",IF(D38&gt;=90,"Mantener","Mantener y subir tiempo")))</f>
        <v/>
      </c>
      <c r="G38" s="17" t="n"/>
    </row>
    <row r="39">
      <c r="A39" s="16" t="n"/>
      <c r="B39" s="17" t="n"/>
      <c r="C39" s="17" t="n"/>
      <c r="D39" s="17" t="n"/>
      <c r="E39" s="17" t="n"/>
      <c r="F39" s="18">
        <f>IF(D39="","",IF(D39&gt;=120,"Subir carga",IF(D39&gt;=90,"Mantener","Mantener y subir tiempo")))</f>
        <v/>
      </c>
      <c r="G39" s="17" t="n"/>
    </row>
    <row r="40">
      <c r="A40" s="16" t="n"/>
      <c r="B40" s="17" t="n"/>
      <c r="C40" s="17" t="n"/>
      <c r="D40" s="17" t="n"/>
      <c r="E40" s="17" t="n"/>
      <c r="F40" s="18">
        <f>IF(D40="","",IF(D40&gt;=120,"Subir carga",IF(D40&gt;=90,"Mantener","Mantener y subir tiempo")))</f>
        <v/>
      </c>
      <c r="G40" s="17" t="n"/>
    </row>
    <row r="41">
      <c r="A41" s="16" t="n"/>
      <c r="B41" s="17" t="n"/>
      <c r="C41" s="17" t="n"/>
      <c r="D41" s="17" t="n"/>
      <c r="E41" s="17" t="n"/>
      <c r="F41" s="18">
        <f>IF(D41="","",IF(D41&gt;=120,"Subir carga",IF(D41&gt;=90,"Mantener","Mantener y subir tiempo")))</f>
        <v/>
      </c>
      <c r="G41" s="17" t="n"/>
    </row>
    <row r="42">
      <c r="A42" s="16" t="n"/>
      <c r="B42" s="17" t="n"/>
      <c r="C42" s="17" t="n"/>
      <c r="D42" s="17" t="n"/>
      <c r="E42" s="17" t="n"/>
      <c r="F42" s="18">
        <f>IF(D42="","",IF(D42&gt;=120,"Subir carga",IF(D42&gt;=90,"Mantener","Mantener y subir tiempo")))</f>
        <v/>
      </c>
      <c r="G42" s="17" t="n"/>
    </row>
    <row r="43">
      <c r="A43" s="16" t="n"/>
      <c r="B43" s="17" t="n"/>
      <c r="C43" s="17" t="n"/>
      <c r="D43" s="17" t="n"/>
      <c r="E43" s="17" t="n"/>
      <c r="F43" s="18">
        <f>IF(D43="","",IF(D43&gt;=120,"Subir carga",IF(D43&gt;=90,"Mantener","Mantener y subir tiempo")))</f>
        <v/>
      </c>
      <c r="G43" s="17" t="n"/>
    </row>
    <row r="44">
      <c r="A44" s="16" t="n"/>
      <c r="B44" s="17" t="n"/>
      <c r="C44" s="17" t="n"/>
      <c r="D44" s="17" t="n"/>
      <c r="E44" s="17" t="n"/>
      <c r="F44" s="18">
        <f>IF(D44="","",IF(D44&gt;=120,"Subir carga",IF(D44&gt;=90,"Mantener","Mantener y subir tiempo")))</f>
        <v/>
      </c>
      <c r="G44" s="17" t="n"/>
    </row>
    <row r="45">
      <c r="A45" s="16" t="n"/>
      <c r="B45" s="17" t="n"/>
      <c r="C45" s="17" t="n"/>
      <c r="D45" s="17" t="n"/>
      <c r="E45" s="17" t="n"/>
      <c r="F45" s="18">
        <f>IF(D45="","",IF(D45&gt;=120,"Subir carga",IF(D45&gt;=90,"Mantener","Mantener y subir tiempo")))</f>
        <v/>
      </c>
      <c r="G45" s="17" t="n"/>
    </row>
    <row r="46">
      <c r="A46" s="16" t="n"/>
      <c r="B46" s="17" t="n"/>
      <c r="C46" s="17" t="n"/>
      <c r="D46" s="17" t="n"/>
      <c r="E46" s="17" t="n"/>
      <c r="F46" s="18">
        <f>IF(D46="","",IF(D46&gt;=120,"Subir carga",IF(D46&gt;=90,"Mantener","Mantener y subir tiempo")))</f>
        <v/>
      </c>
      <c r="G46" s="17" t="n"/>
    </row>
    <row r="47">
      <c r="A47" s="16" t="n"/>
      <c r="B47" s="17" t="n"/>
      <c r="C47" s="17" t="n"/>
      <c r="D47" s="17" t="n"/>
      <c r="E47" s="17" t="n"/>
      <c r="F47" s="18">
        <f>IF(D47="","",IF(D47&gt;=120,"Subir carga",IF(D47&gt;=90,"Mantener","Mantener y subir tiempo")))</f>
        <v/>
      </c>
      <c r="G47" s="17" t="n"/>
    </row>
    <row r="48">
      <c r="A48" s="16" t="n"/>
      <c r="B48" s="17" t="n"/>
      <c r="C48" s="17" t="n"/>
      <c r="D48" s="17" t="n"/>
      <c r="E48" s="17" t="n"/>
      <c r="F48" s="18">
        <f>IF(D48="","",IF(D48&gt;=120,"Subir carga",IF(D48&gt;=90,"Mantener","Mantener y subir tiempo")))</f>
        <v/>
      </c>
      <c r="G48" s="17" t="n"/>
    </row>
    <row r="49">
      <c r="A49" s="16" t="n"/>
      <c r="B49" s="17" t="n"/>
      <c r="C49" s="17" t="n"/>
      <c r="D49" s="17" t="n"/>
      <c r="E49" s="17" t="n"/>
      <c r="F49" s="18">
        <f>IF(D49="","",IF(D49&gt;=120,"Subir carga",IF(D49&gt;=90,"Mantener","Mantener y subir tiempo")))</f>
        <v/>
      </c>
      <c r="G49" s="17" t="n"/>
    </row>
    <row r="50">
      <c r="A50" s="16" t="n"/>
      <c r="B50" s="17" t="n"/>
      <c r="C50" s="17" t="n"/>
      <c r="D50" s="17" t="n"/>
      <c r="E50" s="17" t="n"/>
      <c r="F50" s="18">
        <f>IF(D50="","",IF(D50&gt;=120,"Subir carga",IF(D50&gt;=90,"Mantener","Mantener y subir tiempo")))</f>
        <v/>
      </c>
      <c r="G50" s="17" t="n"/>
    </row>
    <row r="51">
      <c r="A51" s="16" t="n"/>
      <c r="B51" s="17" t="n"/>
      <c r="C51" s="17" t="n"/>
      <c r="D51" s="17" t="n"/>
      <c r="E51" s="17" t="n"/>
      <c r="F51" s="18">
        <f>IF(D51="","",IF(D51&gt;=120,"Subir carga",IF(D51&gt;=90,"Mantener","Mantener y subir tiempo")))</f>
        <v/>
      </c>
      <c r="G51" s="17" t="n"/>
    </row>
    <row r="52">
      <c r="A52" s="16" t="n"/>
      <c r="B52" s="17" t="n"/>
      <c r="C52" s="17" t="n"/>
      <c r="D52" s="17" t="n"/>
      <c r="E52" s="17" t="n"/>
      <c r="F52" s="18">
        <f>IF(D52="","",IF(D52&gt;=120,"Subir carga",IF(D52&gt;=90,"Mantener","Mantener y subir tiempo")))</f>
        <v/>
      </c>
      <c r="G52" s="17" t="n"/>
    </row>
    <row r="53">
      <c r="A53" s="16" t="n"/>
      <c r="B53" s="17" t="n"/>
      <c r="C53" s="17" t="n"/>
      <c r="D53" s="17" t="n"/>
      <c r="E53" s="17" t="n"/>
      <c r="F53" s="18">
        <f>IF(D53="","",IF(D53&gt;=120,"Subir carga",IF(D53&gt;=90,"Mantener","Mantener y subir tiempo")))</f>
        <v/>
      </c>
      <c r="G53" s="17" t="n"/>
    </row>
    <row r="54">
      <c r="A54" s="16" t="n"/>
      <c r="B54" s="17" t="n"/>
      <c r="C54" s="17" t="n"/>
      <c r="D54" s="17" t="n"/>
      <c r="E54" s="17" t="n"/>
      <c r="F54" s="18">
        <f>IF(D54="","",IF(D54&gt;=120,"Subir carga",IF(D54&gt;=90,"Mantener","Mantener y subir tiempo")))</f>
        <v/>
      </c>
      <c r="G54" s="17" t="n"/>
    </row>
    <row r="55">
      <c r="A55" s="16" t="n"/>
      <c r="B55" s="17" t="n"/>
      <c r="C55" s="17" t="n"/>
      <c r="D55" s="17" t="n"/>
      <c r="E55" s="17" t="n"/>
      <c r="F55" s="18">
        <f>IF(D55="","",IF(D55&gt;=120,"Subir carga",IF(D55&gt;=90,"Mantener","Mantener y subir tiempo")))</f>
        <v/>
      </c>
      <c r="G55" s="17" t="n"/>
    </row>
    <row r="56">
      <c r="A56" s="16" t="n"/>
      <c r="B56" s="17" t="n"/>
      <c r="C56" s="17" t="n"/>
      <c r="D56" s="17" t="n"/>
      <c r="E56" s="17" t="n"/>
      <c r="F56" s="18">
        <f>IF(D56="","",IF(D56&gt;=120,"Subir carga",IF(D56&gt;=90,"Mantener","Mantener y subir tiempo")))</f>
        <v/>
      </c>
      <c r="G56" s="17" t="n"/>
    </row>
    <row r="57">
      <c r="A57" s="16" t="n"/>
      <c r="B57" s="17" t="n"/>
      <c r="C57" s="17" t="n"/>
      <c r="D57" s="17" t="n"/>
      <c r="E57" s="17" t="n"/>
      <c r="F57" s="18">
        <f>IF(D57="","",IF(D57&gt;=120,"Subir carga",IF(D57&gt;=90,"Mantener","Mantener y subir tiempo")))</f>
        <v/>
      </c>
      <c r="G57" s="17" t="n"/>
    </row>
    <row r="58">
      <c r="A58" s="16" t="n"/>
      <c r="B58" s="17" t="n"/>
      <c r="C58" s="17" t="n"/>
      <c r="D58" s="17" t="n"/>
      <c r="E58" s="17" t="n"/>
      <c r="F58" s="18">
        <f>IF(D58="","",IF(D58&gt;=120,"Subir carga",IF(D58&gt;=90,"Mantener","Mantener y subir tiempo")))</f>
        <v/>
      </c>
      <c r="G58" s="17" t="n"/>
    </row>
    <row r="59">
      <c r="A59" s="16" t="n"/>
      <c r="B59" s="17" t="n"/>
      <c r="C59" s="17" t="n"/>
      <c r="D59" s="17" t="n"/>
      <c r="E59" s="17" t="n"/>
      <c r="F59" s="18">
        <f>IF(D59="","",IF(D59&gt;=120,"Subir carga",IF(D59&gt;=90,"Mantener","Mantener y subir tiempo")))</f>
        <v/>
      </c>
      <c r="G59" s="17" t="n"/>
    </row>
    <row r="60">
      <c r="A60" s="16" t="n"/>
      <c r="B60" s="17" t="n"/>
      <c r="C60" s="17" t="n"/>
      <c r="D60" s="17" t="n"/>
      <c r="E60" s="17" t="n"/>
      <c r="F60" s="18">
        <f>IF(D60="","",IF(D60&gt;=120,"Subir carga",IF(D60&gt;=90,"Mantener","Mantener y subir tiempo")))</f>
        <v/>
      </c>
      <c r="G60" s="17" t="n"/>
    </row>
    <row r="61">
      <c r="A61" s="16" t="n"/>
      <c r="B61" s="17" t="n"/>
      <c r="C61" s="17" t="n"/>
      <c r="D61" s="17" t="n"/>
      <c r="E61" s="17" t="n"/>
      <c r="F61" s="18">
        <f>IF(D61="","",IF(D61&gt;=120,"Subir carga",IF(D61&gt;=90,"Mantener","Mantener y subir tiempo")))</f>
        <v/>
      </c>
      <c r="G61" s="17" t="n"/>
    </row>
    <row r="62">
      <c r="A62" s="16" t="n"/>
      <c r="B62" s="17" t="n"/>
      <c r="C62" s="17" t="n"/>
      <c r="D62" s="17" t="n"/>
      <c r="E62" s="17" t="n"/>
      <c r="F62" s="18">
        <f>IF(D62="","",IF(D62&gt;=120,"Subir carga",IF(D62&gt;=90,"Mantener","Mantener y subir tiempo")))</f>
        <v/>
      </c>
      <c r="G62" s="17" t="n"/>
    </row>
    <row r="63">
      <c r="A63" s="16" t="n"/>
      <c r="B63" s="17" t="n"/>
      <c r="C63" s="17" t="n"/>
      <c r="D63" s="17" t="n"/>
      <c r="E63" s="17" t="n"/>
      <c r="F63" s="18">
        <f>IF(D63="","",IF(D63&gt;=120,"Subir carga",IF(D63&gt;=90,"Mantener","Mantener y subir tiempo")))</f>
        <v/>
      </c>
      <c r="G63" s="17" t="n"/>
    </row>
    <row r="64">
      <c r="A64" s="16" t="n"/>
      <c r="B64" s="17" t="n"/>
      <c r="C64" s="17" t="n"/>
      <c r="D64" s="17" t="n"/>
      <c r="E64" s="17" t="n"/>
      <c r="F64" s="18">
        <f>IF(D64="","",IF(D64&gt;=120,"Subir carga",IF(D64&gt;=90,"Mantener","Mantener y subir tiempo")))</f>
        <v/>
      </c>
      <c r="G64" s="17" t="n"/>
    </row>
    <row r="65">
      <c r="A65" s="16" t="n"/>
      <c r="B65" s="17" t="n"/>
      <c r="C65" s="17" t="n"/>
      <c r="D65" s="17" t="n"/>
      <c r="E65" s="17" t="n"/>
      <c r="F65" s="18">
        <f>IF(D65="","",IF(D65&gt;=120,"Subir carga",IF(D65&gt;=90,"Mantener","Mantener y subir tiempo")))</f>
        <v/>
      </c>
      <c r="G65" s="17" t="n"/>
    </row>
    <row r="66">
      <c r="A66" s="16" t="n"/>
      <c r="B66" s="17" t="n"/>
      <c r="C66" s="17" t="n"/>
      <c r="D66" s="17" t="n"/>
      <c r="E66" s="17" t="n"/>
      <c r="F66" s="18">
        <f>IF(D66="","",IF(D66&gt;=120,"Subir carga",IF(D66&gt;=90,"Mantener","Mantener y subir tiempo")))</f>
        <v/>
      </c>
      <c r="G66" s="17" t="n"/>
    </row>
    <row r="67">
      <c r="A67" s="16" t="n"/>
      <c r="B67" s="17" t="n"/>
      <c r="C67" s="17" t="n"/>
      <c r="D67" s="17" t="n"/>
      <c r="E67" s="17" t="n"/>
      <c r="F67" s="18">
        <f>IF(D67="","",IF(D67&gt;=120,"Subir carga",IF(D67&gt;=90,"Mantener","Mantener y subir tiempo")))</f>
        <v/>
      </c>
      <c r="G67" s="17" t="n"/>
    </row>
    <row r="68">
      <c r="A68" s="16" t="n"/>
      <c r="B68" s="17" t="n"/>
      <c r="C68" s="17" t="n"/>
      <c r="D68" s="17" t="n"/>
      <c r="E68" s="17" t="n"/>
      <c r="F68" s="18">
        <f>IF(D68="","",IF(D68&gt;=120,"Subir carga",IF(D68&gt;=90,"Mantener","Mantener y subir tiempo")))</f>
        <v/>
      </c>
      <c r="G68" s="17" t="n"/>
    </row>
    <row r="69">
      <c r="A69" s="16" t="n"/>
      <c r="B69" s="17" t="n"/>
      <c r="C69" s="17" t="n"/>
      <c r="D69" s="17" t="n"/>
      <c r="E69" s="17" t="n"/>
      <c r="F69" s="18">
        <f>IF(D69="","",IF(D69&gt;=120,"Subir carga",IF(D69&gt;=90,"Mantener","Mantener y subir tiempo")))</f>
        <v/>
      </c>
      <c r="G69" s="17" t="n"/>
    </row>
    <row r="70">
      <c r="A70" s="16" t="n"/>
      <c r="B70" s="17" t="n"/>
      <c r="C70" s="17" t="n"/>
      <c r="D70" s="17" t="n"/>
      <c r="E70" s="17" t="n"/>
      <c r="F70" s="18">
        <f>IF(D70="","",IF(D70&gt;=120,"Subir carga",IF(D70&gt;=90,"Mantener","Mantener y subir tiempo")))</f>
        <v/>
      </c>
      <c r="G70" s="17" t="n"/>
    </row>
  </sheetData>
  <dataValidations count="1">
    <dataValidation sqref="B11:B70" showDropDown="0" showInputMessage="0" showErrorMessage="0" allowBlank="1" type="list">
      <formula1>"Prensa,Jalón al pecho divergente,Chest press,Remo sentado en máquina,Press hombro convergente"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8" min="1" max="1"/>
    <col width="12" customWidth="1" style="18" min="2" max="3"/>
    <col width="13" customWidth="1" style="18" min="4" max="4"/>
    <col width="20" customWidth="1" style="18" min="5" max="5"/>
    <col width="18" customWidth="1" style="18" min="6" max="6"/>
    <col width="34" customWidth="1" style="18" min="7" max="7"/>
  </cols>
  <sheetData>
    <row r="1" ht="15.75" customHeight="1" s="12">
      <c r="A1" s="19" t="inlineStr">
        <is>
          <t>Progresión Calistenia — Foco de mejora: Dead hang (agarre)</t>
        </is>
      </c>
    </row>
    <row r="2" ht="30" customHeight="1" s="12">
      <c r="A2" s="20" t="inlineStr">
        <is>
          <t>Celdas amarillas = entrada manual. Sesiones lunes y viernes (casa). Cada fila avanza una sesión. El resto son fórmulas, no sobrescribir. Los demás ejercicios (empuje, piernas, core, día de gimnasio) no llevan esta progresión formal — ver config.json y rutina.md.</t>
        </is>
      </c>
    </row>
    <row r="4" ht="15" customHeight="1" s="12">
      <c r="A4" s="21" t="inlineStr">
        <is>
          <t>FASE ACTIVA — Dead hang: colgado con brazos extendidos, escápulas activas. Foco: agarre.</t>
        </is>
      </c>
    </row>
    <row r="5" ht="15" customHeight="1" s="12">
      <c r="A5" s="21" t="inlineStr">
        <is>
          <t>Nombre:</t>
        </is>
      </c>
      <c r="B5" s="22" t="inlineStr">
        <is>
          <t>Dead hang (barra de techo)</t>
        </is>
      </c>
    </row>
    <row r="6" ht="15" customHeight="1" s="12">
      <c r="A6" s="21" t="inlineStr">
        <is>
          <t>Objetivo inicial (s):</t>
        </is>
      </c>
      <c r="B6" s="22" t="n">
        <v>15</v>
      </c>
    </row>
    <row r="7" ht="15" customHeight="1" s="12">
      <c r="A7" s="21" t="inlineStr">
        <is>
          <t>Incremento (s) por sesión:</t>
        </is>
      </c>
      <c r="B7" s="22" t="n">
        <v>1</v>
      </c>
    </row>
    <row r="8" ht="30" customHeight="1" s="12">
      <c r="A8" s="21" t="inlineStr">
        <is>
          <t>Criterio para pasar de fase:</t>
        </is>
      </c>
      <c r="B8" s="23" t="inlineStr">
        <is>
          <t>2 series de 40 s limpias, dos sesiones seguidas — entonces se decide con el usuario la siguiente fase (hang a una mano asistido, o reintroducir la negativa en casa) en un nuevo bloque.</t>
        </is>
      </c>
    </row>
    <row r="10" ht="15" customHeight="1" s="12">
      <c r="A10" s="24" t="inlineStr">
        <is>
          <t>Sesión</t>
        </is>
      </c>
      <c r="B10" s="24" t="inlineStr">
        <is>
          <t>Fecha</t>
        </is>
      </c>
      <c r="C10" s="24" t="inlineStr">
        <is>
          <t>Objetivo (s)</t>
        </is>
      </c>
      <c r="D10" s="24" t="inlineStr">
        <is>
          <t>Series logradas</t>
        </is>
      </c>
      <c r="E10" s="24" t="inlineStr">
        <is>
          <t>Tiempo total (s)</t>
        </is>
      </c>
      <c r="F10" s="24" t="inlineStr">
        <is>
          <t>Marca estimada (s)</t>
        </is>
      </c>
      <c r="G10" s="24" t="inlineStr">
        <is>
          <t>Notas (mano izq/dcha, hombro, sensaciones)</t>
        </is>
      </c>
    </row>
    <row r="11" ht="15" customHeight="1" s="12">
      <c r="A11" s="25" t="n">
        <v>1</v>
      </c>
      <c r="B11" s="26" t="n">
        <v>46262</v>
      </c>
      <c r="C11" s="25">
        <f>IF($B$6="","",$B$6)</f>
        <v/>
      </c>
      <c r="D11" s="22" t="n">
        <v>2</v>
      </c>
      <c r="E11" s="25">
        <f>IF(OR(C11="",D11=""),"",C11*D11)</f>
        <v/>
      </c>
      <c r="F11" s="25">
        <f>IF(OR(C11="",D11=""),"",C11*(1+0.03*D11))</f>
        <v/>
      </c>
      <c r="G11" s="22" t="inlineStr">
        <is>
          <t>3 series: 30 / 17 / 10 s. Dos alcanzan el objetivo de 15 s. Mejor marca 30 s (récord). Sin dolor de hombro. Muy cansado: 4ª sesión con un solo día de descanso.</t>
        </is>
      </c>
    </row>
    <row r="12" ht="15" customHeight="1" s="12">
      <c r="A12" s="25" t="n">
        <v>2</v>
      </c>
      <c r="B12" s="27">
        <f>IF(B11="","",B11+IF(WEEKDAY(B11,2)=1,4,3))</f>
        <v/>
      </c>
      <c r="C12" s="25">
        <f>IF(C11="","",C11+IF($B$7="",0,$B$7))</f>
        <v/>
      </c>
      <c r="D12" s="22" t="n">
        <v>1</v>
      </c>
      <c r="E12" s="25">
        <f>IF(OR(C12="",D12=""),"",C12*D12)</f>
        <v/>
      </c>
      <c r="F12" s="25">
        <f>IF(OR(C12="",D12=""),"",C12*(1+0.03*D12))</f>
        <v/>
      </c>
      <c r="G12" s="22" t="inlineStr">
        <is>
          <t>3 series: 30 / 15 / 10 s. Objetivo 16 s: solo la 1ª lo pasa. Primera serie clavada en 30 s por 2ª vez (techo). Las series 2 y 3 caen: falta descanso entre series.</t>
        </is>
      </c>
    </row>
    <row r="13" ht="15" customHeight="1" s="12">
      <c r="A13" s="25" t="n">
        <v>3</v>
      </c>
      <c r="B13" s="27" t="n">
        <v>46272</v>
      </c>
      <c r="C13" s="25">
        <f>IF(C12="","",C12+IF($B$7="",0,$B$7))</f>
        <v/>
      </c>
      <c r="D13" s="22" t="n">
        <v>2</v>
      </c>
      <c r="E13" s="25">
        <f>IF(OR(C13="",D13=""),"",C13*D13)</f>
        <v/>
      </c>
      <c r="F13" s="25">
        <f>IF(OR(C13="",D13=""),"",C13*(1+0.03*D13))</f>
        <v/>
      </c>
      <c r="G13" s="22" t="inlineStr">
        <is>
          <t>3 series: 20 / 20 / 13 s. Objetivo 17 s: 2 series lo pasan. Perfil mucho más plano que antes (30/15/10 -&gt; 20/20/13): la 2a serie sube 5 s. Una semana sin sesiones registradas entre esta y la anterior.</t>
        </is>
      </c>
    </row>
    <row r="14" ht="15" customHeight="1" s="12">
      <c r="A14" s="25" t="n">
        <v>4</v>
      </c>
      <c r="B14" s="27">
        <f>IF(B13="","",B13+IF(WEEKDAY(B13,2)=1,4,3))</f>
        <v/>
      </c>
      <c r="C14" s="25">
        <f>IF(C13="","",C13+IF($B$7="",0,$B$7))</f>
        <v/>
      </c>
      <c r="D14" s="22" t="n">
        <v>1</v>
      </c>
      <c r="E14" s="25">
        <f>IF(OR(C14="",D14=""),"",C14*D14)</f>
        <v/>
      </c>
      <c r="F14" s="25">
        <f>IF(OR(C14="",D14=""),"",C14*(1+0.03*D14))</f>
        <v/>
      </c>
      <c r="G14" s="22" t="inlineStr">
        <is>
          <t>3 series: 30 / 17 / 14 s = 61 s totales (mejor total del ciclo). Objetivo 18 s: solo la 1a serie lo pasa. Pico recuperado (30 s) y 3a serie la mejor hasta ahora (14 s).</t>
        </is>
      </c>
    </row>
    <row r="15" ht="15" customHeight="1" s="12">
      <c r="A15" s="25" t="n">
        <v>5</v>
      </c>
      <c r="B15" s="27">
        <f>IF(B14="","",B14+IF(WEEKDAY(B14,2)=1,4,3))</f>
        <v/>
      </c>
      <c r="C15" s="25">
        <f>IF(C14="","",C14+IF($B$7="",0,$B$7))</f>
        <v/>
      </c>
      <c r="D15" s="22" t="n"/>
      <c r="E15" s="25">
        <f>IF(OR(C15="",D15=""),"",C15*D15)</f>
        <v/>
      </c>
      <c r="F15" s="25">
        <f>IF(OR(C15="",D15=""),"",C15*(1+0.03*D15))</f>
        <v/>
      </c>
      <c r="G15" s="22" t="n"/>
    </row>
    <row r="16" ht="15" customHeight="1" s="12">
      <c r="A16" s="25" t="n">
        <v>6</v>
      </c>
      <c r="B16" s="27">
        <f>IF(B15="","",B15+IF(WEEKDAY(B15,2)=1,4,3))</f>
        <v/>
      </c>
      <c r="C16" s="25">
        <f>IF(C15="","",C15+IF($B$7="",0,$B$7))</f>
        <v/>
      </c>
      <c r="D16" s="22" t="n"/>
      <c r="E16" s="25">
        <f>IF(OR(C16="",D16=""),"",C16*D16)</f>
        <v/>
      </c>
      <c r="F16" s="25">
        <f>IF(OR(C16="",D16=""),"",C16*(1+0.03*D16))</f>
        <v/>
      </c>
      <c r="G16" s="22" t="n"/>
    </row>
    <row r="17" ht="15" customHeight="1" s="12">
      <c r="A17" s="25" t="n">
        <v>7</v>
      </c>
      <c r="B17" s="27">
        <f>IF(B16="","",B16+IF(WEEKDAY(B16,2)=1,4,3))</f>
        <v/>
      </c>
      <c r="C17" s="25">
        <f>IF(C16="","",C16+IF($B$7="",0,$B$7))</f>
        <v/>
      </c>
      <c r="D17" s="22" t="n"/>
      <c r="E17" s="25">
        <f>IF(OR(C17="",D17=""),"",C17*D17)</f>
        <v/>
      </c>
      <c r="F17" s="25">
        <f>IF(OR(C17="",D17=""),"",C17*(1+0.03*D17))</f>
        <v/>
      </c>
      <c r="G17" s="22" t="n"/>
    </row>
    <row r="18" ht="15" customHeight="1" s="12">
      <c r="A18" s="25" t="n">
        <v>8</v>
      </c>
      <c r="B18" s="27">
        <f>IF(B17="","",B17+IF(WEEKDAY(B17,2)=1,4,3))</f>
        <v/>
      </c>
      <c r="C18" s="25">
        <f>IF(C17="","",C17+IF($B$7="",0,$B$7))</f>
        <v/>
      </c>
      <c r="D18" s="22" t="n"/>
      <c r="E18" s="25">
        <f>IF(OR(C18="",D18=""),"",C18*D18)</f>
        <v/>
      </c>
      <c r="F18" s="25">
        <f>IF(OR(C18="",D18=""),"",C18*(1+0.03*D18))</f>
        <v/>
      </c>
      <c r="G18" s="22" t="n"/>
    </row>
    <row r="19" ht="15" customHeight="1" s="12">
      <c r="A19" s="25" t="n">
        <v>9</v>
      </c>
      <c r="B19" s="27">
        <f>IF(B18="","",B18+IF(WEEKDAY(B18,2)=1,4,3))</f>
        <v/>
      </c>
      <c r="C19" s="25">
        <f>IF(C18="","",C18+IF($B$7="",0,$B$7))</f>
        <v/>
      </c>
      <c r="D19" s="22" t="n"/>
      <c r="E19" s="25">
        <f>IF(OR(C19="",D19=""),"",C19*D19)</f>
        <v/>
      </c>
      <c r="F19" s="25">
        <f>IF(OR(C19="",D19=""),"",C19*(1+0.03*D19))</f>
        <v/>
      </c>
      <c r="G19" s="22" t="n"/>
    </row>
    <row r="20" ht="15" customHeight="1" s="12">
      <c r="A20" s="25" t="n">
        <v>10</v>
      </c>
      <c r="B20" s="27">
        <f>IF(B19="","",B19+IF(WEEKDAY(B19,2)=1,4,3))</f>
        <v/>
      </c>
      <c r="C20" s="25">
        <f>IF(C19="","",C19+IF($B$7="",0,$B$7))</f>
        <v/>
      </c>
      <c r="D20" s="22" t="n"/>
      <c r="E20" s="25">
        <f>IF(OR(C20="",D20=""),"",C20*D20)</f>
        <v/>
      </c>
      <c r="F20" s="25">
        <f>IF(OR(C20="",D20=""),"",C20*(1+0.03*D20))</f>
        <v/>
      </c>
      <c r="G20" s="22" t="n"/>
    </row>
    <row r="21" ht="15" customHeight="1" s="12">
      <c r="A21" s="25" t="n">
        <v>11</v>
      </c>
      <c r="B21" s="27">
        <f>IF(B20="","",B20+IF(WEEKDAY(B20,2)=1,4,3))</f>
        <v/>
      </c>
      <c r="C21" s="25">
        <f>IF(C20="","",C20+IF($B$7="",0,$B$7))</f>
        <v/>
      </c>
      <c r="D21" s="22" t="n"/>
      <c r="E21" s="25">
        <f>IF(OR(C21="",D21=""),"",C21*D21)</f>
        <v/>
      </c>
      <c r="F21" s="25">
        <f>IF(OR(C21="",D21=""),"",C21*(1+0.03*D21))</f>
        <v/>
      </c>
      <c r="G21" s="22" t="n"/>
    </row>
    <row r="22" ht="15" customHeight="1" s="12">
      <c r="A22" s="25" t="n">
        <v>12</v>
      </c>
      <c r="B22" s="27">
        <f>IF(B21="","",B21+IF(WEEKDAY(B21,2)=1,4,3))</f>
        <v/>
      </c>
      <c r="C22" s="25">
        <f>IF(C21="","",C21+IF($B$7="",0,$B$7))</f>
        <v/>
      </c>
      <c r="D22" s="22" t="n"/>
      <c r="E22" s="25">
        <f>IF(OR(C22="",D22=""),"",C22*D22)</f>
        <v/>
      </c>
      <c r="F22" s="25">
        <f>IF(OR(C22="",D22=""),"",C22*(1+0.03*D22))</f>
        <v/>
      </c>
      <c r="G22" s="22" t="n"/>
    </row>
    <row r="23" ht="15" customHeight="1" s="12">
      <c r="A23" s="25" t="n">
        <v>13</v>
      </c>
      <c r="B23" s="27">
        <f>IF(B22="","",B22+IF(WEEKDAY(B22,2)=1,4,3))</f>
        <v/>
      </c>
      <c r="C23" s="25">
        <f>IF(C22="","",C22+IF($B$7="",0,$B$7))</f>
        <v/>
      </c>
      <c r="D23" s="22" t="n"/>
      <c r="E23" s="25">
        <f>IF(OR(C23="",D23=""),"",C23*D23)</f>
        <v/>
      </c>
      <c r="F23" s="25">
        <f>IF(OR(C23="",D23=""),"",C23*(1+0.03*D23))</f>
        <v/>
      </c>
      <c r="G23" s="22" t="n"/>
    </row>
    <row r="24" ht="15" customHeight="1" s="12">
      <c r="A24" s="25" t="n">
        <v>14</v>
      </c>
      <c r="B24" s="27">
        <f>IF(B23="","",B23+IF(WEEKDAY(B23,2)=1,4,3))</f>
        <v/>
      </c>
      <c r="C24" s="25">
        <f>IF(C23="","",C23+IF($B$7="",0,$B$7))</f>
        <v/>
      </c>
      <c r="D24" s="22" t="n"/>
      <c r="E24" s="25">
        <f>IF(OR(C24="",D24=""),"",C24*D24)</f>
        <v/>
      </c>
      <c r="F24" s="25">
        <f>IF(OR(C24="",D24=""),"",C24*(1+0.03*D24))</f>
        <v/>
      </c>
      <c r="G24" s="22" t="n"/>
    </row>
    <row r="25" ht="15" customHeight="1" s="12">
      <c r="A25" s="25" t="n">
        <v>15</v>
      </c>
      <c r="B25" s="27">
        <f>IF(B24="","",B24+IF(WEEKDAY(B24,2)=1,4,3))</f>
        <v/>
      </c>
      <c r="C25" s="25">
        <f>IF(C24="","",C24+IF($B$7="",0,$B$7))</f>
        <v/>
      </c>
      <c r="D25" s="22" t="n"/>
      <c r="E25" s="25">
        <f>IF(OR(C25="",D25=""),"",C25*D25)</f>
        <v/>
      </c>
      <c r="F25" s="25">
        <f>IF(OR(C25="",D25=""),"",C25*(1+0.03*D25))</f>
        <v/>
      </c>
      <c r="G25" s="22" t="n"/>
    </row>
    <row r="26" ht="15" customHeight="1" s="12">
      <c r="A26" s="25" t="n">
        <v>16</v>
      </c>
      <c r="B26" s="27">
        <f>IF(B25="","",B25+IF(WEEKDAY(B25,2)=1,4,3))</f>
        <v/>
      </c>
      <c r="C26" s="25">
        <f>IF(C25="","",C25+IF($B$7="",0,$B$7))</f>
        <v/>
      </c>
      <c r="D26" s="22" t="n"/>
      <c r="E26" s="25">
        <f>IF(OR(C26="",D26=""),"",C26*D26)</f>
        <v/>
      </c>
      <c r="F26" s="25">
        <f>IF(OR(C26="",D26=""),"",C26*(1+0.03*D26))</f>
        <v/>
      </c>
      <c r="G26" s="22" t="n"/>
    </row>
    <row r="27" ht="15" customHeight="1" s="12">
      <c r="A27" s="25" t="n">
        <v>17</v>
      </c>
      <c r="B27" s="27">
        <f>IF(B26="","",B26+IF(WEEKDAY(B26,2)=1,4,3))</f>
        <v/>
      </c>
      <c r="C27" s="25">
        <f>IF(C26="","",C26+IF($B$7="",0,$B$7))</f>
        <v/>
      </c>
      <c r="D27" s="22" t="n"/>
      <c r="E27" s="25">
        <f>IF(OR(C27="",D27=""),"",C27*D27)</f>
        <v/>
      </c>
      <c r="F27" s="25">
        <f>IF(OR(C27="",D27=""),"",C27*(1+0.03*D27))</f>
        <v/>
      </c>
      <c r="G27" s="22" t="n"/>
    </row>
    <row r="28" ht="15" customHeight="1" s="12">
      <c r="A28" s="25" t="n">
        <v>18</v>
      </c>
      <c r="B28" s="27">
        <f>IF(B27="","",B27+IF(WEEKDAY(B27,2)=1,4,3))</f>
        <v/>
      </c>
      <c r="C28" s="25">
        <f>IF(C27="","",C27+IF($B$7="",0,$B$7))</f>
        <v/>
      </c>
      <c r="D28" s="22" t="n"/>
      <c r="E28" s="25">
        <f>IF(OR(C28="",D28=""),"",C28*D28)</f>
        <v/>
      </c>
      <c r="F28" s="25">
        <f>IF(OR(C28="",D28=""),"",C28*(1+0.03*D28))</f>
        <v/>
      </c>
      <c r="G28" s="22" t="n"/>
    </row>
    <row r="29" ht="15" customHeight="1" s="12">
      <c r="A29" s="25" t="n">
        <v>19</v>
      </c>
      <c r="B29" s="27">
        <f>IF(B28="","",B28+IF(WEEKDAY(B28,2)=1,4,3))</f>
        <v/>
      </c>
      <c r="C29" s="25">
        <f>IF(C28="","",C28+IF($B$7="",0,$B$7))</f>
        <v/>
      </c>
      <c r="D29" s="22" t="n"/>
      <c r="E29" s="25">
        <f>IF(OR(C29="",D29=""),"",C29*D29)</f>
        <v/>
      </c>
      <c r="F29" s="25">
        <f>IF(OR(C29="",D29=""),"",C29*(1+0.03*D29))</f>
        <v/>
      </c>
      <c r="G29" s="22" t="n"/>
    </row>
    <row r="30" ht="15" customHeight="1" s="12">
      <c r="A30" s="25" t="n">
        <v>20</v>
      </c>
      <c r="B30" s="27">
        <f>IF(B29="","",B29+IF(WEEKDAY(B29,2)=1,4,3))</f>
        <v/>
      </c>
      <c r="C30" s="25">
        <f>IF(C29="","",C29+IF($B$7="",0,$B$7))</f>
        <v/>
      </c>
      <c r="D30" s="22" t="n"/>
      <c r="E30" s="25">
        <f>IF(OR(C30="",D30=""),"",C30*D30)</f>
        <v/>
      </c>
      <c r="F30" s="25">
        <f>IF(OR(C30="",D30=""),"",C30*(1+0.03*D30))</f>
        <v/>
      </c>
      <c r="G30" s="22" t="n"/>
    </row>
    <row r="31" ht="15" customHeight="1" s="12">
      <c r="A31" s="25" t="n">
        <v>21</v>
      </c>
      <c r="B31" s="27">
        <f>IF(B30="","",B30+IF(WEEKDAY(B30,2)=1,4,3))</f>
        <v/>
      </c>
      <c r="C31" s="25">
        <f>IF(C30="","",C30+IF($B$7="",0,$B$7))</f>
        <v/>
      </c>
      <c r="D31" s="22" t="n"/>
      <c r="E31" s="25">
        <f>IF(OR(C31="",D31=""),"",C31*D31)</f>
        <v/>
      </c>
      <c r="F31" s="25">
        <f>IF(OR(C31="",D31=""),"",C31*(1+0.03*D31))</f>
        <v/>
      </c>
      <c r="G31" s="22" t="n"/>
    </row>
    <row r="32" ht="15" customHeight="1" s="12">
      <c r="A32" s="25" t="n">
        <v>22</v>
      </c>
      <c r="B32" s="27">
        <f>IF(B31="","",B31+IF(WEEKDAY(B31,2)=1,4,3))</f>
        <v/>
      </c>
      <c r="C32" s="25">
        <f>IF(C31="","",C31+IF($B$7="",0,$B$7))</f>
        <v/>
      </c>
      <c r="D32" s="22" t="n"/>
      <c r="E32" s="25">
        <f>IF(OR(C32="",D32=""),"",C32*D32)</f>
        <v/>
      </c>
      <c r="F32" s="25">
        <f>IF(OR(C32="",D32=""),"",C32*(1+0.03*D32))</f>
        <v/>
      </c>
      <c r="G32" s="22" t="n"/>
    </row>
    <row r="33" ht="15" customHeight="1" s="12">
      <c r="A33" s="25" t="n">
        <v>23</v>
      </c>
      <c r="B33" s="27">
        <f>IF(B32="","",B32+IF(WEEKDAY(B32,2)=1,4,3))</f>
        <v/>
      </c>
      <c r="C33" s="25">
        <f>IF(C32="","",C32+IF($B$7="",0,$B$7))</f>
        <v/>
      </c>
      <c r="D33" s="22" t="n"/>
      <c r="E33" s="25">
        <f>IF(OR(C33="",D33=""),"",C33*D33)</f>
        <v/>
      </c>
      <c r="F33" s="25">
        <f>IF(OR(C33="",D33=""),"",C33*(1+0.03*D33))</f>
        <v/>
      </c>
      <c r="G33" s="22" t="n"/>
    </row>
    <row r="34" ht="15" customHeight="1" s="12">
      <c r="A34" s="25" t="n">
        <v>24</v>
      </c>
      <c r="B34" s="27">
        <f>IF(B33="","",B33+IF(WEEKDAY(B33,2)=1,4,3))</f>
        <v/>
      </c>
      <c r="C34" s="25">
        <f>IF(C33="","",C33+IF($B$7="",0,$B$7))</f>
        <v/>
      </c>
      <c r="D34" s="22" t="n"/>
      <c r="E34" s="25">
        <f>IF(OR(C34="",D34=""),"",C34*D34)</f>
        <v/>
      </c>
      <c r="F34" s="25">
        <f>IF(OR(C34="",D34=""),"",C34*(1+0.03*D34))</f>
        <v/>
      </c>
      <c r="G34" s="22" t="n"/>
    </row>
    <row r="35" ht="15" customHeight="1" s="12">
      <c r="A35" s="21" t="inlineStr">
        <is>
          <t>Acumulado</t>
        </is>
      </c>
      <c r="D35" s="25">
        <f>SUM(D11:D34)</f>
        <v/>
      </c>
      <c r="E35" s="25">
        <f>SUM(E11:E34)</f>
        <v/>
      </c>
    </row>
    <row r="36" ht="15" customHeight="1" s="12">
      <c r="A36" s="21" t="inlineStr">
        <is>
          <t>Récord tiempo total (s)</t>
        </is>
      </c>
      <c r="E36" s="25">
        <f>MAX(E11:E34)</f>
        <v/>
      </c>
    </row>
    <row r="37" ht="15" customHeight="1" s="12">
      <c r="A37" s="21" t="inlineStr">
        <is>
          <t>Récord marca estimada (s)</t>
        </is>
      </c>
      <c r="F37" s="25">
        <f>MAX(F11:F34)</f>
        <v/>
      </c>
    </row>
  </sheetData>
  <mergeCells count="3">
    <mergeCell ref="B8:G8"/>
    <mergeCell ref="A2:G2"/>
    <mergeCell ref="A4:G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8" min="1" max="1"/>
    <col width="12" customWidth="1" style="18" min="2" max="2"/>
    <col width="13" customWidth="1" style="18" min="3" max="3"/>
    <col width="16" customWidth="1" style="18" min="4" max="4"/>
    <col width="17" customWidth="1" style="18" min="5" max="6"/>
    <col width="38" customWidth="1" style="18" min="7" max="7"/>
  </cols>
  <sheetData>
    <row r="1" ht="15.75" customHeight="1" s="12">
      <c r="A1" s="19" t="inlineStr">
        <is>
          <t>Progresión Calistenia — Ciclo 2: Dead hang, esquema serie máxima</t>
        </is>
      </c>
    </row>
    <row r="2" ht="31.5" customHeight="1" s="12">
      <c r="A2" s="20" t="inlineStr">
        <is>
          <t>Celdas amarillas = entrada manual. Esquema desde 14/09/2026: 1 SERIE MÁXIMA en fresco (es la que cuenta y la que se progresa) + 2 series de respaldo a tiempo fijo cómodo, solo para sumar volumen de agarre. El dead hang va al principio del bloque de tracción.</t>
        </is>
      </c>
    </row>
    <row r="4" ht="15" customHeight="1" s="12">
      <c r="A4" s="21" t="inlineStr">
        <is>
          <t>HISTÓRICO CICLO 1 — mejor serie por sesión: 28/08: 30 s · 31/08: 30 s · 07/09: 20 s · 11/09: 30 s. Totales: 57 · 55 · 53 · 61 s.</t>
        </is>
      </c>
    </row>
    <row r="5" ht="15" customHeight="1" s="12">
      <c r="A5" s="21" t="inlineStr">
        <is>
          <t>Nombre:</t>
        </is>
      </c>
      <c r="B5" s="22" t="inlineStr">
        <is>
          <t>Dead hang — serie máxima</t>
        </is>
      </c>
    </row>
    <row r="6" ht="15" customHeight="1" s="12">
      <c r="A6" s="21" t="inlineStr">
        <is>
          <t>Objetivo inicial serie máx. (s):</t>
        </is>
      </c>
      <c r="B6" s="22" t="n">
        <v>31</v>
      </c>
    </row>
    <row r="7" ht="15" customHeight="1" s="12">
      <c r="A7" s="21" t="inlineStr">
        <is>
          <t>Incremento (s) por sesión:</t>
        </is>
      </c>
      <c r="B7" s="22" t="n">
        <v>1</v>
      </c>
    </row>
    <row r="8" ht="15" customHeight="1" s="12">
      <c r="A8" s="21" t="inlineStr">
        <is>
          <t>Respaldo pautado:</t>
        </is>
      </c>
      <c r="B8" s="22" t="inlineStr">
        <is>
          <t>2 series x 15 s, sin llegar al límite</t>
        </is>
      </c>
    </row>
    <row r="9" ht="27.75" customHeight="1" s="12">
      <c r="A9" s="21" t="inlineStr">
        <is>
          <t>Regla de no progresión:</t>
        </is>
      </c>
      <c r="B9" s="23" t="inlineStr">
        <is>
          <t>Si la serie máxima no alcanza el objetivo dos sesiones seguidas, se congela el objetivo hasta superarlo.</t>
        </is>
      </c>
    </row>
    <row r="11" ht="15" customHeight="1" s="12">
      <c r="A11" s="24" t="inlineStr">
        <is>
          <t>Sesión</t>
        </is>
      </c>
      <c r="B11" s="24" t="inlineStr">
        <is>
          <t>Fecha</t>
        </is>
      </c>
      <c r="C11" s="24" t="inlineStr">
        <is>
          <t>Objetivo (s)</t>
        </is>
      </c>
      <c r="D11" s="24" t="inlineStr">
        <is>
          <t>SERIE MÁX. (s)</t>
        </is>
      </c>
      <c r="E11" s="24" t="inlineStr">
        <is>
          <t>Respaldo (s tot.)</t>
        </is>
      </c>
      <c r="F11" s="24" t="inlineStr">
        <is>
          <t>Total sesión (s)</t>
        </is>
      </c>
      <c r="G11" s="24" t="inlineStr">
        <is>
          <t>Notas</t>
        </is>
      </c>
    </row>
    <row r="12" ht="15" customHeight="1" s="12">
      <c r="A12" s="25" t="n">
        <v>1</v>
      </c>
      <c r="B12" s="26" t="n">
        <v>46279</v>
      </c>
      <c r="C12" s="25">
        <f>IF($B$6="","",$B$6)</f>
        <v/>
      </c>
      <c r="D12" s="22" t="n">
        <v>29</v>
      </c>
      <c r="E12" s="22" t="n">
        <v>25</v>
      </c>
      <c r="F12" s="25">
        <f>IF(D12="","",D12+IF(E12="",0,E12))</f>
        <v/>
      </c>
      <c r="G12" s="22" t="inlineStr">
        <is>
          <t>Serie máx. 29 s, objetivo 31 s (no alcanzado). Respaldo 15 + 10 s (la 3ª se quedó en 10, por debajo de los 15 pautados). Total 54 s. Récord vigente: 30 s.</t>
        </is>
      </c>
    </row>
    <row r="13" ht="15" customHeight="1" s="12">
      <c r="A13" s="25" t="n">
        <v>2</v>
      </c>
      <c r="B13" s="27">
        <f>IF(B12="","",B12+IF(WEEKDAY(B12,2)=1,4,3))</f>
        <v/>
      </c>
      <c r="C13" s="25">
        <f>IF(C12="","",C12+IF($B$7="",0,$B$7))</f>
        <v/>
      </c>
      <c r="D13" s="22" t="n"/>
      <c r="E13" s="22" t="n"/>
      <c r="F13" s="25">
        <f>IF(D13="","",D13+IF(E13="",0,E13))</f>
        <v/>
      </c>
      <c r="G13" s="22" t="n"/>
    </row>
    <row r="14" ht="15" customHeight="1" s="12">
      <c r="A14" s="25" t="n">
        <v>3</v>
      </c>
      <c r="B14" s="27">
        <f>IF(B13="","",B13+IF(WEEKDAY(B13,2)=1,4,3))</f>
        <v/>
      </c>
      <c r="C14" s="25">
        <f>IF(C13="","",C13+IF($B$7="",0,$B$7))</f>
        <v/>
      </c>
      <c r="D14" s="22" t="n"/>
      <c r="E14" s="22" t="n"/>
      <c r="F14" s="25">
        <f>IF(D14="","",D14+IF(E14="",0,E14))</f>
        <v/>
      </c>
      <c r="G14" s="22" t="n"/>
    </row>
    <row r="15" ht="15" customHeight="1" s="12">
      <c r="A15" s="25" t="n">
        <v>4</v>
      </c>
      <c r="B15" s="27">
        <f>IF(B14="","",B14+IF(WEEKDAY(B14,2)=1,4,3))</f>
        <v/>
      </c>
      <c r="C15" s="25">
        <f>IF(C14="","",C14+IF($B$7="",0,$B$7))</f>
        <v/>
      </c>
      <c r="D15" s="22" t="n"/>
      <c r="E15" s="22" t="n"/>
      <c r="F15" s="25">
        <f>IF(D15="","",D15+IF(E15="",0,E15))</f>
        <v/>
      </c>
      <c r="G15" s="22" t="n"/>
    </row>
    <row r="16" ht="15" customHeight="1" s="12">
      <c r="A16" s="25" t="n">
        <v>5</v>
      </c>
      <c r="B16" s="27">
        <f>IF(B15="","",B15+IF(WEEKDAY(B15,2)=1,4,3))</f>
        <v/>
      </c>
      <c r="C16" s="25">
        <f>IF(C15="","",C15+IF($B$7="",0,$B$7))</f>
        <v/>
      </c>
      <c r="D16" s="22" t="n"/>
      <c r="E16" s="22" t="n"/>
      <c r="F16" s="25">
        <f>IF(D16="","",D16+IF(E16="",0,E16))</f>
        <v/>
      </c>
      <c r="G16" s="22" t="n"/>
    </row>
    <row r="17" ht="15" customHeight="1" s="12">
      <c r="A17" s="25" t="n">
        <v>6</v>
      </c>
      <c r="B17" s="27">
        <f>IF(B16="","",B16+IF(WEEKDAY(B16,2)=1,4,3))</f>
        <v/>
      </c>
      <c r="C17" s="25">
        <f>IF(C16="","",C16+IF($B$7="",0,$B$7))</f>
        <v/>
      </c>
      <c r="D17" s="22" t="n"/>
      <c r="E17" s="22" t="n"/>
      <c r="F17" s="25">
        <f>IF(D17="","",D17+IF(E17="",0,E17))</f>
        <v/>
      </c>
      <c r="G17" s="22" t="n"/>
    </row>
    <row r="18" ht="15" customHeight="1" s="12">
      <c r="A18" s="25" t="n">
        <v>7</v>
      </c>
      <c r="B18" s="27">
        <f>IF(B17="","",B17+IF(WEEKDAY(B17,2)=1,4,3))</f>
        <v/>
      </c>
      <c r="C18" s="25">
        <f>IF(C17="","",C17+IF($B$7="",0,$B$7))</f>
        <v/>
      </c>
      <c r="D18" s="22" t="n"/>
      <c r="E18" s="22" t="n"/>
      <c r="F18" s="25">
        <f>IF(D18="","",D18+IF(E18="",0,E18))</f>
        <v/>
      </c>
      <c r="G18" s="22" t="n"/>
    </row>
    <row r="19" ht="15" customHeight="1" s="12">
      <c r="A19" s="25" t="n">
        <v>8</v>
      </c>
      <c r="B19" s="27">
        <f>IF(B18="","",B18+IF(WEEKDAY(B18,2)=1,4,3))</f>
        <v/>
      </c>
      <c r="C19" s="25">
        <f>IF(C18="","",C18+IF($B$7="",0,$B$7))</f>
        <v/>
      </c>
      <c r="D19" s="22" t="n"/>
      <c r="E19" s="22" t="n"/>
      <c r="F19" s="25">
        <f>IF(D19="","",D19+IF(E19="",0,E19))</f>
        <v/>
      </c>
      <c r="G19" s="22" t="n"/>
    </row>
    <row r="20" ht="15" customHeight="1" s="12">
      <c r="A20" s="25" t="n">
        <v>9</v>
      </c>
      <c r="B20" s="27">
        <f>IF(B19="","",B19+IF(WEEKDAY(B19,2)=1,4,3))</f>
        <v/>
      </c>
      <c r="C20" s="25">
        <f>IF(C19="","",C19+IF($B$7="",0,$B$7))</f>
        <v/>
      </c>
      <c r="D20" s="22" t="n"/>
      <c r="E20" s="22" t="n"/>
      <c r="F20" s="25">
        <f>IF(D20="","",D20+IF(E20="",0,E20))</f>
        <v/>
      </c>
      <c r="G20" s="22" t="n"/>
    </row>
    <row r="21" ht="15" customHeight="1" s="12">
      <c r="A21" s="25" t="n">
        <v>10</v>
      </c>
      <c r="B21" s="27">
        <f>IF(B20="","",B20+IF(WEEKDAY(B20,2)=1,4,3))</f>
        <v/>
      </c>
      <c r="C21" s="25">
        <f>IF(C20="","",C20+IF($B$7="",0,$B$7))</f>
        <v/>
      </c>
      <c r="D21" s="22" t="n"/>
      <c r="E21" s="22" t="n"/>
      <c r="F21" s="25">
        <f>IF(D21="","",D21+IF(E21="",0,E21))</f>
        <v/>
      </c>
      <c r="G21" s="22" t="n"/>
    </row>
    <row r="22" ht="15" customHeight="1" s="12">
      <c r="A22" s="25" t="n">
        <v>11</v>
      </c>
      <c r="B22" s="27">
        <f>IF(B21="","",B21+IF(WEEKDAY(B21,2)=1,4,3))</f>
        <v/>
      </c>
      <c r="C22" s="25">
        <f>IF(C21="","",C21+IF($B$7="",0,$B$7))</f>
        <v/>
      </c>
      <c r="D22" s="22" t="n"/>
      <c r="E22" s="22" t="n"/>
      <c r="F22" s="25">
        <f>IF(D22="","",D22+IF(E22="",0,E22))</f>
        <v/>
      </c>
      <c r="G22" s="22" t="n"/>
    </row>
    <row r="23" ht="15" customHeight="1" s="12">
      <c r="A23" s="25" t="n">
        <v>12</v>
      </c>
      <c r="B23" s="27">
        <f>IF(B22="","",B22+IF(WEEKDAY(B22,2)=1,4,3))</f>
        <v/>
      </c>
      <c r="C23" s="25">
        <f>IF(C22="","",C22+IF($B$7="",0,$B$7))</f>
        <v/>
      </c>
      <c r="D23" s="22" t="n"/>
      <c r="E23" s="22" t="n"/>
      <c r="F23" s="25">
        <f>IF(D23="","",D23+IF(E23="",0,E23))</f>
        <v/>
      </c>
      <c r="G23" s="22" t="n"/>
    </row>
    <row r="24" ht="15" customHeight="1" s="12">
      <c r="A24" s="25" t="n">
        <v>13</v>
      </c>
      <c r="B24" s="27">
        <f>IF(B23="","",B23+IF(WEEKDAY(B23,2)=1,4,3))</f>
        <v/>
      </c>
      <c r="C24" s="25">
        <f>IF(C23="","",C23+IF($B$7="",0,$B$7))</f>
        <v/>
      </c>
      <c r="D24" s="22" t="n"/>
      <c r="E24" s="22" t="n"/>
      <c r="F24" s="25">
        <f>IF(D24="","",D24+IF(E24="",0,E24))</f>
        <v/>
      </c>
      <c r="G24" s="22" t="n"/>
    </row>
    <row r="25" ht="15" customHeight="1" s="12">
      <c r="A25" s="25" t="n">
        <v>14</v>
      </c>
      <c r="B25" s="27">
        <f>IF(B24="","",B24+IF(WEEKDAY(B24,2)=1,4,3))</f>
        <v/>
      </c>
      <c r="C25" s="25">
        <f>IF(C24="","",C24+IF($B$7="",0,$B$7))</f>
        <v/>
      </c>
      <c r="D25" s="22" t="n"/>
      <c r="E25" s="22" t="n"/>
      <c r="F25" s="25">
        <f>IF(D25="","",D25+IF(E25="",0,E25))</f>
        <v/>
      </c>
      <c r="G25" s="22" t="n"/>
    </row>
    <row r="26" ht="15" customHeight="1" s="12">
      <c r="A26" s="25" t="n">
        <v>15</v>
      </c>
      <c r="B26" s="27">
        <f>IF(B25="","",B25+IF(WEEKDAY(B25,2)=1,4,3))</f>
        <v/>
      </c>
      <c r="C26" s="25">
        <f>IF(C25="","",C25+IF($B$7="",0,$B$7))</f>
        <v/>
      </c>
      <c r="D26" s="22" t="n"/>
      <c r="E26" s="22" t="n"/>
      <c r="F26" s="25">
        <f>IF(D26="","",D26+IF(E26="",0,E26))</f>
        <v/>
      </c>
      <c r="G26" s="22" t="n"/>
    </row>
    <row r="27" ht="15" customHeight="1" s="12">
      <c r="A27" s="25" t="n">
        <v>16</v>
      </c>
      <c r="B27" s="27">
        <f>IF(B26="","",B26+IF(WEEKDAY(B26,2)=1,4,3))</f>
        <v/>
      </c>
      <c r="C27" s="25">
        <f>IF(C26="","",C26+IF($B$7="",0,$B$7))</f>
        <v/>
      </c>
      <c r="D27" s="22" t="n"/>
      <c r="E27" s="22" t="n"/>
      <c r="F27" s="25">
        <f>IF(D27="","",D27+IF(E27="",0,E27))</f>
        <v/>
      </c>
      <c r="G27" s="22" t="n"/>
    </row>
    <row r="28" ht="15" customHeight="1" s="12">
      <c r="A28" s="25" t="n">
        <v>17</v>
      </c>
      <c r="B28" s="27">
        <f>IF(B27="","",B27+IF(WEEKDAY(B27,2)=1,4,3))</f>
        <v/>
      </c>
      <c r="C28" s="25">
        <f>IF(C27="","",C27+IF($B$7="",0,$B$7))</f>
        <v/>
      </c>
      <c r="D28" s="22" t="n"/>
      <c r="E28" s="22" t="n"/>
      <c r="F28" s="25">
        <f>IF(D28="","",D28+IF(E28="",0,E28))</f>
        <v/>
      </c>
      <c r="G28" s="22" t="n"/>
    </row>
    <row r="29" ht="15" customHeight="1" s="12">
      <c r="A29" s="25" t="n">
        <v>18</v>
      </c>
      <c r="B29" s="27">
        <f>IF(B28="","",B28+IF(WEEKDAY(B28,2)=1,4,3))</f>
        <v/>
      </c>
      <c r="C29" s="25">
        <f>IF(C28="","",C28+IF($B$7="",0,$B$7))</f>
        <v/>
      </c>
      <c r="D29" s="22" t="n"/>
      <c r="E29" s="22" t="n"/>
      <c r="F29" s="25">
        <f>IF(D29="","",D29+IF(E29="",0,E29))</f>
        <v/>
      </c>
      <c r="G29" s="22" t="n"/>
    </row>
    <row r="30" ht="15" customHeight="1" s="12">
      <c r="A30" s="25" t="n">
        <v>19</v>
      </c>
      <c r="B30" s="27">
        <f>IF(B29="","",B29+IF(WEEKDAY(B29,2)=1,4,3))</f>
        <v/>
      </c>
      <c r="C30" s="25">
        <f>IF(C29="","",C29+IF($B$7="",0,$B$7))</f>
        <v/>
      </c>
      <c r="D30" s="22" t="n"/>
      <c r="E30" s="22" t="n"/>
      <c r="F30" s="25">
        <f>IF(D30="","",D30+IF(E30="",0,E30))</f>
        <v/>
      </c>
      <c r="G30" s="22" t="n"/>
    </row>
    <row r="31" ht="15" customHeight="1" s="12">
      <c r="A31" s="25" t="n">
        <v>20</v>
      </c>
      <c r="B31" s="27">
        <f>IF(B30="","",B30+IF(WEEKDAY(B30,2)=1,4,3))</f>
        <v/>
      </c>
      <c r="C31" s="25">
        <f>IF(C30="","",C30+IF($B$7="",0,$B$7))</f>
        <v/>
      </c>
      <c r="D31" s="22" t="n"/>
      <c r="E31" s="22" t="n"/>
      <c r="F31" s="25">
        <f>IF(D31="","",D31+IF(E31="",0,E31))</f>
        <v/>
      </c>
      <c r="G31" s="22" t="n"/>
    </row>
    <row r="32" ht="15" customHeight="1" s="12">
      <c r="A32" s="25" t="n">
        <v>21</v>
      </c>
      <c r="B32" s="27">
        <f>IF(B31="","",B31+IF(WEEKDAY(B31,2)=1,4,3))</f>
        <v/>
      </c>
      <c r="C32" s="25">
        <f>IF(C31="","",C31+IF($B$7="",0,$B$7))</f>
        <v/>
      </c>
      <c r="D32" s="22" t="n"/>
      <c r="E32" s="22" t="n"/>
      <c r="F32" s="25">
        <f>IF(D32="","",D32+IF(E32="",0,E32))</f>
        <v/>
      </c>
      <c r="G32" s="22" t="n"/>
    </row>
    <row r="33" ht="15" customHeight="1" s="12">
      <c r="A33" s="25" t="n">
        <v>22</v>
      </c>
      <c r="B33" s="27">
        <f>IF(B32="","",B32+IF(WEEKDAY(B32,2)=1,4,3))</f>
        <v/>
      </c>
      <c r="C33" s="25">
        <f>IF(C32="","",C32+IF($B$7="",0,$B$7))</f>
        <v/>
      </c>
      <c r="D33" s="22" t="n"/>
      <c r="E33" s="22" t="n"/>
      <c r="F33" s="25">
        <f>IF(D33="","",D33+IF(E33="",0,E33))</f>
        <v/>
      </c>
      <c r="G33" s="22" t="n"/>
    </row>
    <row r="34" ht="15" customHeight="1" s="12">
      <c r="A34" s="25" t="n">
        <v>23</v>
      </c>
      <c r="B34" s="27">
        <f>IF(B33="","",B33+IF(WEEKDAY(B33,2)=1,4,3))</f>
        <v/>
      </c>
      <c r="C34" s="25">
        <f>IF(C33="","",C33+IF($B$7="",0,$B$7))</f>
        <v/>
      </c>
      <c r="D34" s="22" t="n"/>
      <c r="E34" s="22" t="n"/>
      <c r="F34" s="25">
        <f>IF(D34="","",D34+IF(E34="",0,E34))</f>
        <v/>
      </c>
      <c r="G34" s="22" t="n"/>
    </row>
    <row r="35" ht="15" customHeight="1" s="12">
      <c r="A35" s="25" t="n">
        <v>24</v>
      </c>
      <c r="B35" s="27">
        <f>IF(B34="","",B34+IF(WEEKDAY(B34,2)=1,4,3))</f>
        <v/>
      </c>
      <c r="C35" s="25">
        <f>IF(C34="","",C34+IF($B$7="",0,$B$7))</f>
        <v/>
      </c>
      <c r="D35" s="22" t="n"/>
      <c r="E35" s="22" t="n"/>
      <c r="F35" s="25">
        <f>IF(D35="","",D35+IF(E35="",0,E35))</f>
        <v/>
      </c>
      <c r="G35" s="22" t="n"/>
    </row>
    <row r="36" ht="15" customHeight="1" s="12">
      <c r="A36" s="21" t="inlineStr">
        <is>
          <t>Récord serie máxima (s)</t>
        </is>
      </c>
      <c r="D36" s="25">
        <f>MAX(D12:D35)</f>
        <v/>
      </c>
    </row>
    <row r="37" ht="15" customHeight="1" s="12">
      <c r="A37" s="21" t="inlineStr">
        <is>
          <t>Mejor total de sesión (s)</t>
        </is>
      </c>
      <c r="F37" s="25">
        <f>MAX(F12:F35)</f>
        <v/>
      </c>
    </row>
    <row r="38" ht="15" customHeight="1" s="12">
      <c r="A38" s="21" t="inlineStr">
        <is>
          <t>Acumulado total (s)</t>
        </is>
      </c>
      <c r="F38" s="25">
        <f>SUM(F12:F35)</f>
        <v/>
      </c>
    </row>
  </sheetData>
  <mergeCells count="3">
    <mergeCell ref="A2:G2"/>
    <mergeCell ref="B9:G9"/>
    <mergeCell ref="A4:G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2026-08-24T11:07:31Z</dcterms:created>
  <dcterms:modified xmlns:dcterms="http://purl.org/dc/terms/" xmlns:xsi="http://www.w3.org/2001/XMLSchema-instance" xsi:type="dcterms:W3CDTF">2026-10-13T18:12:52Z</dcterms:modified>
  <cp:revision>0</cp:revision>
</cp:coreProperties>
</file>