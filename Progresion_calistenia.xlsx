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c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<sst xmlns="http://schemas.openxmlformats.org/spreadsheetml/2006/main" count="19" uniqueCount="19">
  <si>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Progresión Calistenia — Foco de mejora: Negativa controlada de dominada</t>
  </si>
  <si>
    <t xml:space="preserve">Celdas amarillas = entrada manual. Sesiones lunes y viernes (casa). Cada fila avanza una sesión. El resto son fórmulas, no sobrescribir. Los demás ejercicios (empuje, piernas, core, día de gimnasio) no llevan esta progresión formal — ver config.json y rutina.md.</t>
  </si>
  <si>
    <t xml:space="preserve">FASE ACTIVA — Negativa controlada de dominada (bajada lenta desde arriba de la barra)</t>
  </si>
  <si>
    <t xml:space="preserve">Nombre:</t>
  </si>
  <si>
    <t xml:space="preserve">Negativa controlada de dominada</t>
  </si>
  <si>
    <t xml:space="preserve">Objetivo inicial (s):</t>
  </si>
  <si>
    <t xml:space="preserve">Incremento (s) por sesión:</t>
  </si>
  <si>
    <t xml:space="preserve">Criterio para pasar de fase:</t>
  </si>
  <si>
    <t xml:space="preserve">Negativa de 8 s controlada x 4 repeticiones limpias, dos sesiones seguidas — entonces se abre la siguiente fase (dominada asistida / parcial) en un nuevo bloque.</t>
  </si>
  <si>
    <t xml:space="preserve">Sesión</t>
  </si>
  <si>
    <t xml:space="preserve">Fecha</t>
  </si>
  <si>
    <t xml:space="preserve">Objetivo (s)</t>
  </si>
  <si>
    <t xml:space="preserve">Repeticiones</t>
  </si>
  <si>
    <t xml:space="preserve">Tiempo bajo tensión (s)</t>
  </si>
  <si>
    <t xml:space="preserve">Marca estimada (s)</t>
  </si>
  <si>
    <t xml:space="preserve">Notas (dead hang, sensaciones...)</t>
  </si>
  <si>
    <t xml:space="preserve">Acumulado</t>
  </si>
  <si>
    <t xml:space="preserve">Récord tiempo bajo tensión (s)</t>
  </si>
  <si>
    <t xml:space="preserve">Récord marca estimada (s)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</si>
</sst>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mm/dd/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34"/>
  </cols>
  <sheetData>
    <row r="1" customFormat="false" ht="16.1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n">
        <v>4</v>
      </c>
    </row>
    <row r="7" customFormat="false" ht="15" hidden="false" customHeight="false" outlineLevel="0" collapsed="false">
      <c r="A7" s="4" t="s">
        <v>6</v>
      </c>
      <c r="B7" s="5" t="n">
        <v>0.5</v>
      </c>
    </row>
    <row r="8" customFormat="false" ht="30" hidden="false" customHeight="true" outlineLevel="0" collapsed="false">
      <c r="A8" s="4" t="s">
        <v>7</v>
      </c>
      <c r="B8" s="6" t="s">
        <v>8</v>
      </c>
      <c r="C8" s="6"/>
      <c r="D8" s="6"/>
      <c r="E8" s="6"/>
      <c r="F8" s="6"/>
      <c r="G8" s="6"/>
    </row>
    <row r="10" customFormat="false" ht="15" hidden="false" customHeight="false" outlineLevel="0" collapsed="false">
      <c r="A10" s="7" t="s">
        <v>9</v>
      </c>
      <c r="B10" s="7" t="s">
        <v>10</v>
      </c>
      <c r="C10" s="7" t="s">
        <v>11</v>
      </c>
      <c r="D10" s="7" t="s">
        <v>12</v>
      </c>
      <c r="E10" s="7" t="s">
        <v>13</v>
      </c>
      <c r="F10" s="7" t="s">
        <v>14</v>
      </c>
      <c r="G10" s="7" t="s">
        <v>15</v>
      </c>
    </row>
    <row r="11" customFormat="false" ht="15" hidden="false" customHeight="false" outlineLevel="0" collapsed="false">
      <c r="A11" s="8" t="n">
        <v>1</v>
      </c>
      <c r="B11" s="9" t="n">
        <v>46255</v>
      </c>
      <c r="C11" s="8" t="n">
        <f aca="false">IF($B$6="","",$B$6)</f>
        <v>4</v>
      </c>
      <c r="D11" s="5"/>
      <c r="E11" s="8" t="str">
        <f aca="false">IF(OR(C11="",D11=""),"",C11*D11)</f>
        <v/>
      </c>
      <c r="F11" s="8" t="str">
        <f aca="false">IF(OR(C11="",D11=""),"",C11*(1+0.03*D11))</f>
        <v/>
      </c>
      <c r="G11" s="5"/>
    </row>
    <row r="12" customFormat="false" ht="15" hidden="false" customHeight="false" outlineLevel="0" collapsed="false">
      <c r="A12" s="8" t="n">
        <v>2</v>
      </c>
      <c r="B12" s="10" t="n">
        <f aca="false">IF(B11="","",B11+IF(WEEKDAY(B11,2)=1,4,3))</f>
        <v>46258</v>
      </c>
      <c r="C12" s="8" t="n">
        <f aca="false">IF(C11="","",C11+IF($B$7="",0,$B$7))</f>
        <v>4.5</v>
      </c>
      <c r="D12" s="5"/>
      <c r="E12" s="8" t="str">
        <f aca="false">IF(OR(C12="",D12=""),"",C12*D12)</f>
        <v/>
      </c>
      <c r="F12" s="8" t="str">
        <f aca="false">IF(OR(C12="",D12=""),"",C12*(1+0.03*D12))</f>
        <v/>
      </c>
      <c r="G12" s="5"/>
    </row>
    <row r="13" customFormat="false" ht="15" hidden="false" customHeight="false" outlineLevel="0" collapsed="false">
      <c r="A13" s="8" t="n">
        <v>3</v>
      </c>
      <c r="B13" s="10" t="n">
        <f aca="false">IF(B12="","",B12+IF(WEEKDAY(B12,2)=1,4,3))</f>
        <v>46262</v>
      </c>
      <c r="C13" s="8" t="n">
        <f aca="false">IF(C12="","",C12+IF($B$7="",0,$B$7))</f>
        <v>5</v>
      </c>
      <c r="D13" s="5"/>
      <c r="E13" s="8" t="str">
        <f aca="false">IF(OR(C13="",D13=""),"",C13*D13)</f>
        <v/>
      </c>
      <c r="F13" s="8" t="str">
        <f aca="false">IF(OR(C13="",D13=""),"",C13*(1+0.03*D13))</f>
        <v/>
      </c>
      <c r="G13" s="5"/>
    </row>
    <row r="14" customFormat="false" ht="15" hidden="false" customHeight="false" outlineLevel="0" collapsed="false">
      <c r="A14" s="8" t="n">
        <v>4</v>
      </c>
      <c r="B14" s="10" t="n">
        <f aca="false">IF(B13="","",B13+IF(WEEKDAY(B13,2)=1,4,3))</f>
        <v>46265</v>
      </c>
      <c r="C14" s="8" t="n">
        <f aca="false">IF(C13="","",C13+IF($B$7="",0,$B$7))</f>
        <v>5.5</v>
      </c>
      <c r="D14" s="5"/>
      <c r="E14" s="8" t="str">
        <f aca="false">IF(OR(C14="",D14=""),"",C14*D14)</f>
        <v/>
      </c>
      <c r="F14" s="8" t="str">
        <f aca="false">IF(OR(C14="",D14=""),"",C14*(1+0.03*D14))</f>
        <v/>
      </c>
      <c r="G14" s="5"/>
    </row>
    <row r="15" customFormat="false" ht="15" hidden="false" customHeight="false" outlineLevel="0" collapsed="false">
      <c r="A15" s="8" t="n">
        <v>5</v>
      </c>
      <c r="B15" s="10" t="n">
        <f aca="false">IF(B14="","",B14+IF(WEEKDAY(B14,2)=1,4,3))</f>
        <v>46269</v>
      </c>
      <c r="C15" s="8" t="n">
        <f aca="false">IF(C14="","",C14+IF($B$7="",0,$B$7))</f>
        <v>6</v>
      </c>
      <c r="D15" s="5"/>
      <c r="E15" s="8" t="str">
        <f aca="false">IF(OR(C15="",D15=""),"",C15*D15)</f>
        <v/>
      </c>
      <c r="F15" s="8" t="str">
        <f aca="false">IF(OR(C15="",D15=""),"",C15*(1+0.03*D15))</f>
        <v/>
      </c>
      <c r="G15" s="5"/>
    </row>
    <row r="16" customFormat="false" ht="15" hidden="false" customHeight="false" outlineLevel="0" collapsed="false">
      <c r="A16" s="8" t="n">
        <v>6</v>
      </c>
      <c r="B16" s="10" t="n">
        <f aca="false">IF(B15="","",B15+IF(WEEKDAY(B15,2)=1,4,3))</f>
        <v>46272</v>
      </c>
      <c r="C16" s="8" t="n">
        <f aca="false">IF(C15="","",C15+IF($B$7="",0,$B$7))</f>
        <v>6.5</v>
      </c>
      <c r="D16" s="5"/>
      <c r="E16" s="8" t="str">
        <f aca="false">IF(OR(C16="",D16=""),"",C16*D16)</f>
        <v/>
      </c>
      <c r="F16" s="8" t="str">
        <f aca="false">IF(OR(C16="",D16=""),"",C16*(1+0.03*D16))</f>
        <v/>
      </c>
      <c r="G16" s="5"/>
    </row>
    <row r="17" customFormat="false" ht="15" hidden="false" customHeight="false" outlineLevel="0" collapsed="false">
      <c r="A17" s="8" t="n">
        <v>7</v>
      </c>
      <c r="B17" s="10" t="n">
        <f aca="false">IF(B16="","",B16+IF(WEEKDAY(B16,2)=1,4,3))</f>
        <v>46276</v>
      </c>
      <c r="C17" s="8" t="n">
        <f aca="false">IF(C16="","",C16+IF($B$7="",0,$B$7))</f>
        <v>7</v>
      </c>
      <c r="D17" s="5"/>
      <c r="E17" s="8" t="str">
        <f aca="false">IF(OR(C17="",D17=""),"",C17*D17)</f>
        <v/>
      </c>
      <c r="F17" s="8" t="str">
        <f aca="false">IF(OR(C17="",D17=""),"",C17*(1+0.03*D17))</f>
        <v/>
      </c>
      <c r="G17" s="5"/>
    </row>
    <row r="18" customFormat="false" ht="15" hidden="false" customHeight="false" outlineLevel="0" collapsed="false">
      <c r="A18" s="8" t="n">
        <v>8</v>
      </c>
      <c r="B18" s="10" t="n">
        <f aca="false">IF(B17="","",B17+IF(WEEKDAY(B17,2)=1,4,3))</f>
        <v>46279</v>
      </c>
      <c r="C18" s="8" t="n">
        <f aca="false">IF(C17="","",C17+IF($B$7="",0,$B$7))</f>
        <v>7.5</v>
      </c>
      <c r="D18" s="5"/>
      <c r="E18" s="8" t="str">
        <f aca="false">IF(OR(C18="",D18=""),"",C18*D18)</f>
        <v/>
      </c>
      <c r="F18" s="8" t="str">
        <f aca="false">IF(OR(C18="",D18=""),"",C18*(1+0.03*D18))</f>
        <v/>
      </c>
      <c r="G18" s="5"/>
    </row>
    <row r="19" customFormat="false" ht="15" hidden="false" customHeight="false" outlineLevel="0" collapsed="false">
      <c r="A19" s="8" t="n">
        <v>9</v>
      </c>
      <c r="B19" s="10" t="n">
        <f aca="false">IF(B18="","",B18+IF(WEEKDAY(B18,2)=1,4,3))</f>
        <v>46283</v>
      </c>
      <c r="C19" s="8" t="n">
        <f aca="false">IF(C18="","",C18+IF($B$7="",0,$B$7))</f>
        <v>8</v>
      </c>
      <c r="D19" s="5"/>
      <c r="E19" s="8" t="str">
        <f aca="false">IF(OR(C19="",D19=""),"",C19*D19)</f>
        <v/>
      </c>
      <c r="F19" s="8" t="str">
        <f aca="false">IF(OR(C19="",D19=""),"",C19*(1+0.03*D19))</f>
        <v/>
      </c>
      <c r="G19" s="5"/>
    </row>
    <row r="20" customFormat="false" ht="15" hidden="false" customHeight="false" outlineLevel="0" collapsed="false">
      <c r="A20" s="8" t="n">
        <v>10</v>
      </c>
      <c r="B20" s="10" t="n">
        <f aca="false">IF(B19="","",B19+IF(WEEKDAY(B19,2)=1,4,3))</f>
        <v>46286</v>
      </c>
      <c r="C20" s="8" t="n">
        <f aca="false">IF(C19="","",C19+IF($B$7="",0,$B$7))</f>
        <v>8.5</v>
      </c>
      <c r="D20" s="5"/>
      <c r="E20" s="8" t="str">
        <f aca="false">IF(OR(C20="",D20=""),"",C20*D20)</f>
        <v/>
      </c>
      <c r="F20" s="8" t="str">
        <f aca="false">IF(OR(C20="",D20=""),"",C20*(1+0.03*D20))</f>
        <v/>
      </c>
      <c r="G20" s="5"/>
    </row>
    <row r="21" customFormat="false" ht="15" hidden="false" customHeight="false" outlineLevel="0" collapsed="false">
      <c r="A21" s="8" t="n">
        <v>11</v>
      </c>
      <c r="B21" s="10" t="n">
        <f aca="false">IF(B20="","",B20+IF(WEEKDAY(B20,2)=1,4,3))</f>
        <v>46290</v>
      </c>
      <c r="C21" s="8" t="n">
        <f aca="false">IF(C20="","",C20+IF($B$7="",0,$B$7))</f>
        <v>9</v>
      </c>
      <c r="D21" s="5"/>
      <c r="E21" s="8" t="str">
        <f aca="false">IF(OR(C21="",D21=""),"",C21*D21)</f>
        <v/>
      </c>
      <c r="F21" s="8" t="str">
        <f aca="false">IF(OR(C21="",D21=""),"",C21*(1+0.03*D21))</f>
        <v/>
      </c>
      <c r="G21" s="5"/>
    </row>
    <row r="22" customFormat="false" ht="15" hidden="false" customHeight="false" outlineLevel="0" collapsed="false">
      <c r="A22" s="8" t="n">
        <v>12</v>
      </c>
      <c r="B22" s="10" t="n">
        <f aca="false">IF(B21="","",B21+IF(WEEKDAY(B21,2)=1,4,3))</f>
        <v>46293</v>
      </c>
      <c r="C22" s="8" t="n">
        <f aca="false">IF(C21="","",C21+IF($B$7="",0,$B$7))</f>
        <v>9.5</v>
      </c>
      <c r="D22" s="5"/>
      <c r="E22" s="8" t="str">
        <f aca="false">IF(OR(C22="",D22=""),"",C22*D22)</f>
        <v/>
      </c>
      <c r="F22" s="8" t="str">
        <f aca="false">IF(OR(C22="",D22=""),"",C22*(1+0.03*D22))</f>
        <v/>
      </c>
      <c r="G22" s="5"/>
    </row>
    <row r="23" customFormat="false" ht="15" hidden="false" customHeight="false" outlineLevel="0" collapsed="false">
      <c r="A23" s="8" t="n">
        <v>13</v>
      </c>
      <c r="B23" s="10" t="n">
        <f aca="false">IF(B22="","",B22+IF(WEEKDAY(B22,2)=1,4,3))</f>
        <v>46297</v>
      </c>
      <c r="C23" s="8" t="n">
        <f aca="false">IF(C22="","",C22+IF($B$7="",0,$B$7))</f>
        <v>10</v>
      </c>
      <c r="D23" s="5"/>
      <c r="E23" s="8" t="str">
        <f aca="false">IF(OR(C23="",D23=""),"",C23*D23)</f>
        <v/>
      </c>
      <c r="F23" s="8" t="str">
        <f aca="false">IF(OR(C23="",D23=""),"",C23*(1+0.03*D23))</f>
        <v/>
      </c>
      <c r="G23" s="5"/>
    </row>
    <row r="24" customFormat="false" ht="15" hidden="false" customHeight="false" outlineLevel="0" collapsed="false">
      <c r="A24" s="8" t="n">
        <v>14</v>
      </c>
      <c r="B24" s="10" t="n">
        <f aca="false">IF(B23="","",B23+IF(WEEKDAY(B23,2)=1,4,3))</f>
        <v>46300</v>
      </c>
      <c r="C24" s="8" t="n">
        <f aca="false">IF(C23="","",C23+IF($B$7="",0,$B$7))</f>
        <v>10.5</v>
      </c>
      <c r="D24" s="5"/>
      <c r="E24" s="8" t="str">
        <f aca="false">IF(OR(C24="",D24=""),"",C24*D24)</f>
        <v/>
      </c>
      <c r="F24" s="8" t="str">
        <f aca="false">IF(OR(C24="",D24=""),"",C24*(1+0.03*D24))</f>
        <v/>
      </c>
      <c r="G24" s="5"/>
    </row>
    <row r="25" customFormat="false" ht="15" hidden="false" customHeight="false" outlineLevel="0" collapsed="false">
      <c r="A25" s="8" t="n">
        <v>15</v>
      </c>
      <c r="B25" s="10" t="n">
        <f aca="false">IF(B24="","",B24+IF(WEEKDAY(B24,2)=1,4,3))</f>
        <v>46304</v>
      </c>
      <c r="C25" s="8" t="n">
        <f aca="false">IF(C24="","",C24+IF($B$7="",0,$B$7))</f>
        <v>11</v>
      </c>
      <c r="D25" s="5"/>
      <c r="E25" s="8" t="str">
        <f aca="false">IF(OR(C25="",D25=""),"",C25*D25)</f>
        <v/>
      </c>
      <c r="F25" s="8" t="str">
        <f aca="false">IF(OR(C25="",D25=""),"",C25*(1+0.03*D25))</f>
        <v/>
      </c>
      <c r="G25" s="5"/>
    </row>
    <row r="26" customFormat="false" ht="15" hidden="false" customHeight="false" outlineLevel="0" collapsed="false">
      <c r="A26" s="8" t="n">
        <v>16</v>
      </c>
      <c r="B26" s="10" t="n">
        <f aca="false">IF(B25="","",B25+IF(WEEKDAY(B25,2)=1,4,3))</f>
        <v>46307</v>
      </c>
      <c r="C26" s="8" t="n">
        <f aca="false">IF(C25="","",C25+IF($B$7="",0,$B$7))</f>
        <v>11.5</v>
      </c>
      <c r="D26" s="5"/>
      <c r="E26" s="8" t="str">
        <f aca="false">IF(OR(C26="",D26=""),"",C26*D26)</f>
        <v/>
      </c>
      <c r="F26" s="8" t="str">
        <f aca="false">IF(OR(C26="",D26=""),"",C26*(1+0.03*D26))</f>
        <v/>
      </c>
      <c r="G26" s="5"/>
    </row>
    <row r="27" customFormat="false" ht="15" hidden="false" customHeight="false" outlineLevel="0" collapsed="false">
      <c r="A27" s="8" t="n">
        <v>17</v>
      </c>
      <c r="B27" s="10" t="n">
        <f aca="false">IF(B26="","",B26+IF(WEEKDAY(B26,2)=1,4,3))</f>
        <v>46311</v>
      </c>
      <c r="C27" s="8" t="n">
        <f aca="false">IF(C26="","",C26+IF($B$7="",0,$B$7))</f>
        <v>12</v>
      </c>
      <c r="D27" s="5"/>
      <c r="E27" s="8" t="str">
        <f aca="false">IF(OR(C27="",D27=""),"",C27*D27)</f>
        <v/>
      </c>
      <c r="F27" s="8" t="str">
        <f aca="false">IF(OR(C27="",D27=""),"",C27*(1+0.03*D27))</f>
        <v/>
      </c>
      <c r="G27" s="5"/>
    </row>
    <row r="28" customFormat="false" ht="15" hidden="false" customHeight="false" outlineLevel="0" collapsed="false">
      <c r="A28" s="8" t="n">
        <v>18</v>
      </c>
      <c r="B28" s="10" t="n">
        <f aca="false">IF(B27="","",B27+IF(WEEKDAY(B27,2)=1,4,3))</f>
        <v>46314</v>
      </c>
      <c r="C28" s="8" t="n">
        <f aca="false">IF(C27="","",C27+IF($B$7="",0,$B$7))</f>
        <v>12.5</v>
      </c>
      <c r="D28" s="5"/>
      <c r="E28" s="8" t="str">
        <f aca="false">IF(OR(C28="",D28=""),"",C28*D28)</f>
        <v/>
      </c>
      <c r="F28" s="8" t="str">
        <f aca="false">IF(OR(C28="",D28=""),"",C28*(1+0.03*D28))</f>
        <v/>
      </c>
      <c r="G28" s="5"/>
    </row>
    <row r="29" customFormat="false" ht="15" hidden="false" customHeight="false" outlineLevel="0" collapsed="false">
      <c r="A29" s="8" t="n">
        <v>19</v>
      </c>
      <c r="B29" s="10" t="n">
        <f aca="false">IF(B28="","",B28+IF(WEEKDAY(B28,2)=1,4,3))</f>
        <v>46318</v>
      </c>
      <c r="C29" s="8" t="n">
        <f aca="false">IF(C28="","",C28+IF($B$7="",0,$B$7))</f>
        <v>13</v>
      </c>
      <c r="D29" s="5"/>
      <c r="E29" s="8" t="str">
        <f aca="false">IF(OR(C29="",D29=""),"",C29*D29)</f>
        <v/>
      </c>
      <c r="F29" s="8" t="str">
        <f aca="false">IF(OR(C29="",D29=""),"",C29*(1+0.03*D29))</f>
        <v/>
      </c>
      <c r="G29" s="5"/>
    </row>
    <row r="30" customFormat="false" ht="15" hidden="false" customHeight="false" outlineLevel="0" collapsed="false">
      <c r="A30" s="8" t="n">
        <v>20</v>
      </c>
      <c r="B30" s="10" t="n">
        <f aca="false">IF(B29="","",B29+IF(WEEKDAY(B29,2)=1,4,3))</f>
        <v>46321</v>
      </c>
      <c r="C30" s="8" t="n">
        <f aca="false">IF(C29="","",C29+IF($B$7="",0,$B$7))</f>
        <v>13.5</v>
      </c>
      <c r="D30" s="5"/>
      <c r="E30" s="8" t="str">
        <f aca="false">IF(OR(C30="",D30=""),"",C30*D30)</f>
        <v/>
      </c>
      <c r="F30" s="8" t="str">
        <f aca="false">IF(OR(C30="",D30=""),"",C30*(1+0.03*D30))</f>
        <v/>
      </c>
      <c r="G30" s="5"/>
    </row>
    <row r="31" customFormat="false" ht="15" hidden="false" customHeight="false" outlineLevel="0" collapsed="false">
      <c r="A31" s="8" t="n">
        <v>21</v>
      </c>
      <c r="B31" s="10" t="n">
        <f aca="false">IF(B30="","",B30+IF(WEEKDAY(B30,2)=1,4,3))</f>
        <v>46325</v>
      </c>
      <c r="C31" s="8" t="n">
        <f aca="false">IF(C30="","",C30+IF($B$7="",0,$B$7))</f>
        <v>14</v>
      </c>
      <c r="D31" s="5"/>
      <c r="E31" s="8" t="str">
        <f aca="false">IF(OR(C31="",D31=""),"",C31*D31)</f>
        <v/>
      </c>
      <c r="F31" s="8" t="str">
        <f aca="false">IF(OR(C31="",D31=""),"",C31*(1+0.03*D31))</f>
        <v/>
      </c>
      <c r="G31" s="5"/>
    </row>
    <row r="32" customFormat="false" ht="15" hidden="false" customHeight="false" outlineLevel="0" collapsed="false">
      <c r="A32" s="8" t="n">
        <v>22</v>
      </c>
      <c r="B32" s="10" t="n">
        <f aca="false">IF(B31="","",B31+IF(WEEKDAY(B31,2)=1,4,3))</f>
        <v>46328</v>
      </c>
      <c r="C32" s="8" t="n">
        <f aca="false">IF(C31="","",C31+IF($B$7="",0,$B$7))</f>
        <v>14.5</v>
      </c>
      <c r="D32" s="5"/>
      <c r="E32" s="8" t="str">
        <f aca="false">IF(OR(C32="",D32=""),"",C32*D32)</f>
        <v/>
      </c>
      <c r="F32" s="8" t="str">
        <f aca="false">IF(OR(C32="",D32=""),"",C32*(1+0.03*D32))</f>
        <v/>
      </c>
      <c r="G32" s="5"/>
    </row>
    <row r="33" customFormat="false" ht="15" hidden="false" customHeight="false" outlineLevel="0" collapsed="false">
      <c r="A33" s="8" t="n">
        <v>23</v>
      </c>
      <c r="B33" s="10" t="n">
        <f aca="false">IF(B32="","",B32+IF(WEEKDAY(B32,2)=1,4,3))</f>
        <v>46332</v>
      </c>
      <c r="C33" s="8" t="n">
        <f aca="false">IF(C32="","",C32+IF($B$7="",0,$B$7))</f>
        <v>15</v>
      </c>
      <c r="D33" s="5"/>
      <c r="E33" s="8" t="str">
        <f aca="false">IF(OR(C33="",D33=""),"",C33*D33)</f>
        <v/>
      </c>
      <c r="F33" s="8" t="str">
        <f aca="false">IF(OR(C33="",D33=""),"",C33*(1+0.03*D33))</f>
        <v/>
      </c>
      <c r="G33" s="5"/>
    </row>
    <row r="34" customFormat="false" ht="15" hidden="false" customHeight="false" outlineLevel="0" collapsed="false">
      <c r="A34" s="8" t="n">
        <v>24</v>
      </c>
      <c r="B34" s="10" t="n">
        <f aca="false">IF(B33="","",B33+IF(WEEKDAY(B33,2)=1,4,3))</f>
        <v>46335</v>
      </c>
      <c r="C34" s="8" t="n">
        <f aca="false">IF(C33="","",C33+IF($B$7="",0,$B$7))</f>
        <v>15.5</v>
      </c>
      <c r="D34" s="5"/>
      <c r="E34" s="8" t="str">
        <f aca="false">IF(OR(C34="",D34=""),"",C34*D34)</f>
        <v/>
      </c>
      <c r="F34" s="8" t="str">
        <f aca="false">IF(OR(C34="",D34=""),"",C34*(1+0.03*D34))</f>
        <v/>
      </c>
      <c r="G34" s="5"/>
    </row>
    <row r="35" customFormat="false" ht="15" hidden="false" customHeight="false" outlineLevel="0" collapsed="false">
      <c r="A35" s="4" t="s">
        <v>16</v>
      </c>
      <c r="D35" s="8" t="n">
        <f aca="false">SUM(D11:D34)</f>
        <v>0</v>
      </c>
      <c r="E35" s="8" t="n">
        <f aca="false">SUM(E11:E34)</f>
        <v>0</v>
      </c>
    </row>
    <row r="36" customFormat="false" ht="15" hidden="false" customHeight="false" outlineLevel="0" collapsed="false">
      <c r="A36" s="4" t="s">
        <v>17</v>
      </c>
      <c r="E36" s="8" t="n">
        <f aca="false">MAX(E11:E34)</f>
        <v>0</v>
      </c>
    </row>
    <row r="37" customFormat="false" ht="15" hidden="false" customHeight="false" outlineLevel="0" collapsed="false">
      <c r="A37" s="4" t="s">
        <v>18</v>
      </c>
      <c r="F37" s="8" t="n">
        <f aca="false">MAX(F11:F34)</f>
        <v>0</v>
      </c>
    </row>
  </sheetData>
  <mergeCells count="3">
    <mergeCell ref="A2:G2"/>
    <mergeCell ref="A4:G4"/>
    <mergeCell ref="B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2026-08-20T14:18:28Z</dcterms:created>
  <dc:creator>openpyxl</dc:creator>
  <dc:description/>
  <dc:language>en-US</dc:language>
  <cp:lastModifiedBy/>
  <dcterms:modified xsi:type="dcterms:W3CDTF">2026-08-20T14:18:28Z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